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samurayuto/Desktop/FMSP/15 社会数理実践研究/シミュレーション/実データ/"/>
    </mc:Choice>
  </mc:AlternateContent>
  <xr:revisionPtr revIDLastSave="0" documentId="13_ncr:1_{1D3A043E-1AB3-8242-BFC2-A83C078D77F7}" xr6:coauthVersionLast="47" xr6:coauthVersionMax="47" xr10:uidLastSave="{00000000-0000-0000-0000-000000000000}"/>
  <bookViews>
    <workbookView xWindow="0" yWindow="660" windowWidth="29400" windowHeight="18460" xr2:uid="{DAD695B4-30B0-45DB-B6DC-3D37CBBCE380}"/>
  </bookViews>
  <sheets>
    <sheet name="男女計" sheetId="1" r:id="rId1"/>
    <sheet name="男" sheetId="2" r:id="rId2"/>
    <sheet name="女" sheetId="3" r:id="rId3"/>
  </sheets>
  <definedNames>
    <definedName name="_xlnm.Print_Area" localSheetId="2">女!$A$1:$AH$55</definedName>
    <definedName name="_xlnm.Print_Area" localSheetId="1">男!$A$1:$AH$55</definedName>
    <definedName name="_xlnm.Print_Area" localSheetId="0">男女計!$A$1:$AH$55</definedName>
    <definedName name="_xlnm.Print_Titles" localSheetId="2">女!$A:$B</definedName>
    <definedName name="_xlnm.Print_Titles" localSheetId="1">男!$A:$B,男!$1:$3</definedName>
    <definedName name="_xlnm.Print_Titles" localSheetId="0">男女計!$A:$B,男女計!$1:$3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5" i="1" l="1"/>
  <c r="E74" i="1"/>
  <c r="E75" i="1"/>
  <c r="E76" i="1"/>
  <c r="D76" i="1"/>
  <c r="D74" i="1"/>
  <c r="D69" i="1"/>
  <c r="E69" i="1"/>
  <c r="C69" i="1"/>
  <c r="E65" i="1"/>
  <c r="D65" i="1"/>
  <c r="C65" i="1"/>
  <c r="D64" i="1"/>
  <c r="D66" i="1" s="1"/>
  <c r="N61" i="1"/>
  <c r="P61" i="1"/>
  <c r="Q61" i="1"/>
  <c r="C61" i="1"/>
  <c r="D59" i="1"/>
  <c r="D61" i="1" s="1"/>
  <c r="E59" i="1"/>
  <c r="E61" i="1" s="1"/>
  <c r="F59" i="1"/>
  <c r="F61" i="1" s="1"/>
  <c r="G59" i="1"/>
  <c r="G61" i="1" s="1"/>
  <c r="H59" i="1"/>
  <c r="H61" i="1" s="1"/>
  <c r="I59" i="1"/>
  <c r="I61" i="1" s="1"/>
  <c r="J59" i="1"/>
  <c r="J61" i="1" s="1"/>
  <c r="K59" i="1"/>
  <c r="K61" i="1" s="1"/>
  <c r="L59" i="1"/>
  <c r="L61" i="1" s="1"/>
  <c r="M59" i="1"/>
  <c r="M61" i="1" s="1"/>
  <c r="N59" i="1"/>
  <c r="O59" i="1"/>
  <c r="O61" i="1" s="1"/>
  <c r="P59" i="1"/>
  <c r="Q59" i="1"/>
  <c r="R59" i="1"/>
  <c r="R61" i="1" s="1"/>
  <c r="C59" i="1"/>
  <c r="E64" i="1" l="1"/>
  <c r="E66" i="1" s="1"/>
  <c r="C64" i="1"/>
  <c r="C66" i="1" s="1"/>
</calcChain>
</file>

<file path=xl/sharedStrings.xml><?xml version="1.0" encoding="utf-8"?>
<sst xmlns="http://schemas.openxmlformats.org/spreadsheetml/2006/main" count="474" uniqueCount="114">
  <si>
    <t>令和６年賃金構造基本統計調査</t>
    <rPh sb="0" eb="2">
      <t>レイワ</t>
    </rPh>
    <phoneticPr fontId="3"/>
  </si>
  <si>
    <t>都道府県別
参考表2</t>
    <rPh sb="0" eb="4">
      <t>トドウフケン</t>
    </rPh>
    <rPh sb="4" eb="5">
      <t>ベツ</t>
    </rPh>
    <rPh sb="6" eb="8">
      <t>サンコウ</t>
    </rPh>
    <rPh sb="8" eb="9">
      <t>ヒョウ</t>
    </rPh>
    <phoneticPr fontId="2"/>
  </si>
  <si>
    <t>男女計の都道府県、産業別所定内給与額及び年間賞与その他特別給与額（企業規模計）</t>
    <rPh sb="0" eb="3">
      <t>ダンジョケイ</t>
    </rPh>
    <rPh sb="4" eb="8">
      <t>トドウフケン</t>
    </rPh>
    <rPh sb="9" eb="11">
      <t>サンギョウ</t>
    </rPh>
    <rPh sb="11" eb="12">
      <t>ベツ</t>
    </rPh>
    <rPh sb="12" eb="15">
      <t>ショテイナイ</t>
    </rPh>
    <rPh sb="15" eb="17">
      <t>キュウヨ</t>
    </rPh>
    <rPh sb="17" eb="18">
      <t>ガク</t>
    </rPh>
    <rPh sb="18" eb="19">
      <t>オヨ</t>
    </rPh>
    <rPh sb="20" eb="22">
      <t>ネンカン</t>
    </rPh>
    <rPh sb="22" eb="24">
      <t>ショウヨ</t>
    </rPh>
    <rPh sb="26" eb="27">
      <t>タ</t>
    </rPh>
    <rPh sb="27" eb="29">
      <t>トクベツ</t>
    </rPh>
    <rPh sb="29" eb="32">
      <t>キュウヨガク</t>
    </rPh>
    <rPh sb="33" eb="35">
      <t>キギョウ</t>
    </rPh>
    <rPh sb="35" eb="37">
      <t>キボ</t>
    </rPh>
    <rPh sb="37" eb="38">
      <t>ケイ</t>
    </rPh>
    <phoneticPr fontId="2"/>
  </si>
  <si>
    <t>(千円）</t>
    <rPh sb="1" eb="3">
      <t>センエン</t>
    </rPh>
    <phoneticPr fontId="6"/>
  </si>
  <si>
    <t>都道府県</t>
    <phoneticPr fontId="2"/>
  </si>
  <si>
    <t>Ｃ　鉱業，採石業，砂利採取業</t>
    <rPh sb="2" eb="4">
      <t>コウギョウ</t>
    </rPh>
    <rPh sb="5" eb="7">
      <t>サイセキ</t>
    </rPh>
    <rPh sb="7" eb="8">
      <t>ギョウ</t>
    </rPh>
    <rPh sb="9" eb="11">
      <t>ジャリ</t>
    </rPh>
    <rPh sb="11" eb="13">
      <t>サイシュ</t>
    </rPh>
    <rPh sb="13" eb="14">
      <t>ギョウ</t>
    </rPh>
    <phoneticPr fontId="2"/>
  </si>
  <si>
    <t>Ｄ　建設業</t>
    <rPh sb="2" eb="5">
      <t>サンギョウD</t>
    </rPh>
    <phoneticPr fontId="6"/>
  </si>
  <si>
    <t>Ｅ　製造業</t>
    <rPh sb="2" eb="5">
      <t>サンギョウエ</t>
    </rPh>
    <phoneticPr fontId="6"/>
  </si>
  <si>
    <t>Ｆ　電気・ガス・熱供給・水道業</t>
    <rPh sb="2" eb="4">
      <t>デンキ</t>
    </rPh>
    <rPh sb="8" eb="9">
      <t>ネツ</t>
    </rPh>
    <rPh sb="9" eb="11">
      <t>キョウキュウ</t>
    </rPh>
    <rPh sb="12" eb="15">
      <t>スイドウギョウ</t>
    </rPh>
    <phoneticPr fontId="2"/>
  </si>
  <si>
    <t>Ｇ　情報通信業</t>
    <rPh sb="2" eb="4">
      <t>ジョウホウ</t>
    </rPh>
    <rPh sb="4" eb="7">
      <t>ツウシンギョウ</t>
    </rPh>
    <phoneticPr fontId="2"/>
  </si>
  <si>
    <t>Ｈ　運輸業，
　郵便業</t>
    <rPh sb="2" eb="5">
      <t>ウンユギョウ</t>
    </rPh>
    <rPh sb="8" eb="10">
      <t>ユウビン</t>
    </rPh>
    <rPh sb="10" eb="11">
      <t>ギョウ</t>
    </rPh>
    <phoneticPr fontId="2"/>
  </si>
  <si>
    <t>Ｉ　卸売業，
　小売業</t>
    <rPh sb="2" eb="5">
      <t>オロシウリギョウ</t>
    </rPh>
    <rPh sb="8" eb="11">
      <t>コウリギョウ</t>
    </rPh>
    <phoneticPr fontId="6"/>
  </si>
  <si>
    <t>Ｊ　金融業，保険業</t>
    <rPh sb="2" eb="5">
      <t>キンユウギョウ</t>
    </rPh>
    <rPh sb="6" eb="9">
      <t>ホケンギョウ</t>
    </rPh>
    <phoneticPr fontId="2"/>
  </si>
  <si>
    <t>Ｋ　不動産業，物品賃貸業</t>
    <rPh sb="2" eb="5">
      <t>フドウサン</t>
    </rPh>
    <rPh sb="5" eb="6">
      <t>ギョウ</t>
    </rPh>
    <rPh sb="7" eb="9">
      <t>ブッピン</t>
    </rPh>
    <rPh sb="9" eb="12">
      <t>チンタイギョウ</t>
    </rPh>
    <phoneticPr fontId="2"/>
  </si>
  <si>
    <t>Ｌ 学術研究，専門・技術サービス業</t>
    <rPh sb="2" eb="4">
      <t>ガクジュツ</t>
    </rPh>
    <rPh sb="4" eb="6">
      <t>ケンキュウ</t>
    </rPh>
    <rPh sb="7" eb="9">
      <t>センモン</t>
    </rPh>
    <rPh sb="10" eb="12">
      <t>ギジュツ</t>
    </rPh>
    <rPh sb="16" eb="17">
      <t>ギョウ</t>
    </rPh>
    <phoneticPr fontId="2"/>
  </si>
  <si>
    <t>Ｍ　宿泊業，飲食サービス業</t>
    <rPh sb="2" eb="4">
      <t>シュクハク</t>
    </rPh>
    <rPh sb="4" eb="5">
      <t>ギョウ</t>
    </rPh>
    <rPh sb="6" eb="8">
      <t>インショク</t>
    </rPh>
    <rPh sb="12" eb="13">
      <t>ギョウ</t>
    </rPh>
    <phoneticPr fontId="2"/>
  </si>
  <si>
    <t>Ｎ 生活関連サービス業，娯楽業</t>
    <rPh sb="2" eb="4">
      <t>セイカツ</t>
    </rPh>
    <rPh sb="4" eb="6">
      <t>カンレン</t>
    </rPh>
    <rPh sb="10" eb="11">
      <t>ギョウ</t>
    </rPh>
    <rPh sb="12" eb="15">
      <t>ゴラクギョウ</t>
    </rPh>
    <phoneticPr fontId="2"/>
  </si>
  <si>
    <t>Ｏ　教育，学習支援業</t>
    <rPh sb="2" eb="4">
      <t>キョウイク</t>
    </rPh>
    <rPh sb="5" eb="7">
      <t>ガクシュウ</t>
    </rPh>
    <rPh sb="7" eb="9">
      <t>シエン</t>
    </rPh>
    <rPh sb="9" eb="10">
      <t>ギョウ</t>
    </rPh>
    <phoneticPr fontId="2"/>
  </si>
  <si>
    <t>Ｐ　医療，福祉</t>
    <rPh sb="2" eb="7">
      <t>サンギョウP</t>
    </rPh>
    <phoneticPr fontId="6"/>
  </si>
  <si>
    <t>Ｑ　複合サービス事業</t>
    <rPh sb="2" eb="4">
      <t>フクゴウ</t>
    </rPh>
    <rPh sb="8" eb="10">
      <t>ジギョウ</t>
    </rPh>
    <phoneticPr fontId="2"/>
  </si>
  <si>
    <r>
      <rPr>
        <sz val="10"/>
        <rFont val="ＭＳ 明朝"/>
        <family val="1"/>
        <charset val="128"/>
      </rPr>
      <t>Ｒ　サービス業</t>
    </r>
    <r>
      <rPr>
        <sz val="8"/>
        <rFont val="ＭＳ 明朝"/>
        <family val="1"/>
        <charset val="128"/>
      </rPr>
      <t xml:space="preserve">
</t>
    </r>
    <r>
      <rPr>
        <sz val="6"/>
        <rFont val="ＭＳ 明朝"/>
        <family val="1"/>
        <charset val="128"/>
      </rPr>
      <t>（他に分類されないもの）</t>
    </r>
    <rPh sb="6" eb="7">
      <t>ギョウ</t>
    </rPh>
    <rPh sb="9" eb="10">
      <t>ホカ</t>
    </rPh>
    <rPh sb="11" eb="13">
      <t>ブンルイ</t>
    </rPh>
    <phoneticPr fontId="6"/>
  </si>
  <si>
    <t>所定内</t>
  </si>
  <si>
    <t>年　間</t>
  </si>
  <si>
    <t>年　間</t>
    <phoneticPr fontId="6"/>
  </si>
  <si>
    <t>給与額</t>
  </si>
  <si>
    <t>賞与額</t>
  </si>
  <si>
    <t xml:space="preserve"> 全  国  計</t>
    <rPh sb="1" eb="2">
      <t>ゼン</t>
    </rPh>
    <rPh sb="4" eb="5">
      <t>クニ</t>
    </rPh>
    <rPh sb="7" eb="8">
      <t>ケイ</t>
    </rPh>
    <phoneticPr fontId="3"/>
  </si>
  <si>
    <t>北海道</t>
  </si>
  <si>
    <t>青　森</t>
  </si>
  <si>
    <t>岩　手</t>
  </si>
  <si>
    <t>宮　城</t>
  </si>
  <si>
    <t>秋　田</t>
  </si>
  <si>
    <t>山　形</t>
  </si>
  <si>
    <t>福　島</t>
  </si>
  <si>
    <t>茨　城</t>
  </si>
  <si>
    <t>栃　木</t>
  </si>
  <si>
    <t>群　馬</t>
  </si>
  <si>
    <t>埼　玉</t>
  </si>
  <si>
    <t>千　葉</t>
  </si>
  <si>
    <t>東　京</t>
  </si>
  <si>
    <t>神奈川</t>
  </si>
  <si>
    <t>新　潟</t>
  </si>
  <si>
    <t>富　山</t>
  </si>
  <si>
    <t>石　川</t>
  </si>
  <si>
    <t>福　井</t>
  </si>
  <si>
    <t>山　梨</t>
  </si>
  <si>
    <t>長　野</t>
  </si>
  <si>
    <t>岐　阜</t>
  </si>
  <si>
    <t>静　岡</t>
  </si>
  <si>
    <t>愛　知</t>
  </si>
  <si>
    <t>三　重</t>
  </si>
  <si>
    <t>滋　賀</t>
  </si>
  <si>
    <t>京　都</t>
  </si>
  <si>
    <t>大　阪</t>
  </si>
  <si>
    <t>兵　庫</t>
  </si>
  <si>
    <t>奈　良</t>
  </si>
  <si>
    <t>-</t>
  </si>
  <si>
    <t>和歌山</t>
  </si>
  <si>
    <t>鳥　取</t>
  </si>
  <si>
    <t>島　根</t>
  </si>
  <si>
    <t>岡　山</t>
  </si>
  <si>
    <t>広　島</t>
  </si>
  <si>
    <t>山　口</t>
  </si>
  <si>
    <t>徳　島</t>
  </si>
  <si>
    <t>香　川</t>
  </si>
  <si>
    <t>愛　媛</t>
  </si>
  <si>
    <t>高　知</t>
  </si>
  <si>
    <t>福　岡</t>
  </si>
  <si>
    <t>佐　賀</t>
  </si>
  <si>
    <t>長　崎</t>
  </si>
  <si>
    <t>熊　本</t>
  </si>
  <si>
    <t>大　分</t>
  </si>
  <si>
    <t>宮　崎</t>
  </si>
  <si>
    <t>鹿児島</t>
  </si>
  <si>
    <t>沖　縄</t>
  </si>
  <si>
    <t>男の都道府県、産業別所定内給与額及び年間賞与その他特別給与額（企業規模計）</t>
    <rPh sb="0" eb="1">
      <t>オトコ</t>
    </rPh>
    <rPh sb="2" eb="6">
      <t>トドウフケン</t>
    </rPh>
    <rPh sb="7" eb="9">
      <t>サンギョウ</t>
    </rPh>
    <rPh sb="9" eb="10">
      <t>ベツ</t>
    </rPh>
    <rPh sb="10" eb="13">
      <t>ショテイナイ</t>
    </rPh>
    <rPh sb="13" eb="15">
      <t>キュウヨ</t>
    </rPh>
    <rPh sb="15" eb="16">
      <t>ガク</t>
    </rPh>
    <rPh sb="16" eb="17">
      <t>オヨ</t>
    </rPh>
    <rPh sb="18" eb="20">
      <t>ネンカン</t>
    </rPh>
    <rPh sb="20" eb="22">
      <t>ショウヨ</t>
    </rPh>
    <rPh sb="24" eb="25">
      <t>タ</t>
    </rPh>
    <rPh sb="25" eb="27">
      <t>トクベツ</t>
    </rPh>
    <rPh sb="27" eb="30">
      <t>キュウヨガク</t>
    </rPh>
    <rPh sb="31" eb="33">
      <t>キギョウ</t>
    </rPh>
    <rPh sb="33" eb="35">
      <t>キボ</t>
    </rPh>
    <rPh sb="35" eb="36">
      <t>ケイ</t>
    </rPh>
    <phoneticPr fontId="2"/>
  </si>
  <si>
    <t>男の都道府県、産業別所定内給与額及び年間賞与その他特別給与額（企業規模計）</t>
    <rPh sb="0" eb="1">
      <t>オトコ</t>
    </rPh>
    <rPh sb="1" eb="2">
      <t>ミツオ</t>
    </rPh>
    <rPh sb="2" eb="6">
      <t>トドウフケン</t>
    </rPh>
    <rPh sb="7" eb="9">
      <t>サンギョウ</t>
    </rPh>
    <rPh sb="9" eb="10">
      <t>ベツ</t>
    </rPh>
    <rPh sb="10" eb="13">
      <t>ショテイナイ</t>
    </rPh>
    <rPh sb="13" eb="15">
      <t>キュウヨ</t>
    </rPh>
    <rPh sb="15" eb="16">
      <t>ガク</t>
    </rPh>
    <rPh sb="16" eb="17">
      <t>オヨ</t>
    </rPh>
    <rPh sb="18" eb="20">
      <t>ネンカン</t>
    </rPh>
    <rPh sb="20" eb="22">
      <t>ショウヨ</t>
    </rPh>
    <rPh sb="24" eb="25">
      <t>タ</t>
    </rPh>
    <rPh sb="25" eb="27">
      <t>トクベツ</t>
    </rPh>
    <rPh sb="27" eb="30">
      <t>キュウヨガク</t>
    </rPh>
    <rPh sb="31" eb="33">
      <t>キギョウ</t>
    </rPh>
    <rPh sb="33" eb="35">
      <t>キボ</t>
    </rPh>
    <rPh sb="35" eb="36">
      <t>ケイ</t>
    </rPh>
    <phoneticPr fontId="2"/>
  </si>
  <si>
    <t>女の都道府県、産業別所定内給与額及び年間賞与その他特別給与額（企業規模計）</t>
    <rPh sb="0" eb="1">
      <t>オンナ</t>
    </rPh>
    <rPh sb="2" eb="6">
      <t>トドウフケン</t>
    </rPh>
    <rPh sb="7" eb="9">
      <t>サンギョウ</t>
    </rPh>
    <rPh sb="9" eb="10">
      <t>ベツ</t>
    </rPh>
    <rPh sb="10" eb="13">
      <t>ショテイナイ</t>
    </rPh>
    <rPh sb="13" eb="15">
      <t>キュウヨ</t>
    </rPh>
    <rPh sb="15" eb="16">
      <t>ガク</t>
    </rPh>
    <rPh sb="16" eb="17">
      <t>オヨ</t>
    </rPh>
    <rPh sb="18" eb="20">
      <t>ネンカン</t>
    </rPh>
    <rPh sb="20" eb="22">
      <t>ショウヨ</t>
    </rPh>
    <rPh sb="24" eb="25">
      <t>タ</t>
    </rPh>
    <rPh sb="25" eb="27">
      <t>トクベツ</t>
    </rPh>
    <rPh sb="27" eb="30">
      <t>キュウヨガク</t>
    </rPh>
    <rPh sb="31" eb="33">
      <t>キギョウ</t>
    </rPh>
    <rPh sb="33" eb="35">
      <t>キボ</t>
    </rPh>
    <rPh sb="35" eb="36">
      <t>ケイ</t>
    </rPh>
    <phoneticPr fontId="2"/>
  </si>
  <si>
    <t>愛媛</t>
    <rPh sb="0" eb="2">
      <t>エヒメ</t>
    </rPh>
    <phoneticPr fontId="2"/>
  </si>
  <si>
    <t>C</t>
    <phoneticPr fontId="2"/>
  </si>
  <si>
    <t>D</t>
    <phoneticPr fontId="2"/>
  </si>
  <si>
    <t>E</t>
    <phoneticPr fontId="2"/>
  </si>
  <si>
    <t>F</t>
    <phoneticPr fontId="2"/>
  </si>
  <si>
    <t>G</t>
    <phoneticPr fontId="2"/>
  </si>
  <si>
    <t>H</t>
    <phoneticPr fontId="2"/>
  </si>
  <si>
    <t>I</t>
    <phoneticPr fontId="2"/>
  </si>
  <si>
    <t>J</t>
    <phoneticPr fontId="2"/>
  </si>
  <si>
    <t>K</t>
    <phoneticPr fontId="2"/>
  </si>
  <si>
    <t>L</t>
    <phoneticPr fontId="2"/>
  </si>
  <si>
    <t>M</t>
    <phoneticPr fontId="2"/>
  </si>
  <si>
    <t>N</t>
    <phoneticPr fontId="2"/>
  </si>
  <si>
    <t>O</t>
    <phoneticPr fontId="2"/>
  </si>
  <si>
    <t>P</t>
    <phoneticPr fontId="2"/>
  </si>
  <si>
    <t>Q</t>
    <phoneticPr fontId="2"/>
  </si>
  <si>
    <t>R</t>
    <phoneticPr fontId="2"/>
  </si>
  <si>
    <t>年給与額</t>
    <rPh sb="0" eb="4">
      <t>ネn</t>
    </rPh>
    <phoneticPr fontId="2"/>
  </si>
  <si>
    <t>産業分類</t>
    <rPh sb="0" eb="4">
      <t>サンギョウ</t>
    </rPh>
    <phoneticPr fontId="2"/>
  </si>
  <si>
    <t>労働者数</t>
    <rPh sb="0" eb="4">
      <t>ロウドウ</t>
    </rPh>
    <phoneticPr fontId="2"/>
  </si>
  <si>
    <t>（千円）</t>
    <rPh sb="1" eb="3">
      <t>センエn</t>
    </rPh>
    <phoneticPr fontId="2"/>
  </si>
  <si>
    <t>（人）</t>
    <rPh sb="0" eb="1">
      <t>（</t>
    </rPh>
    <rPh sb="1" eb="2">
      <t>ニn</t>
    </rPh>
    <phoneticPr fontId="2"/>
  </si>
  <si>
    <t>総給与額</t>
    <rPh sb="0" eb="4">
      <t>ソウキュウヨガク</t>
    </rPh>
    <phoneticPr fontId="2"/>
  </si>
  <si>
    <t>第一・第二次産業</t>
    <rPh sb="0" eb="2">
      <t>ダイイティ</t>
    </rPh>
    <rPh sb="3" eb="8">
      <t>ダイ</t>
    </rPh>
    <phoneticPr fontId="2"/>
  </si>
  <si>
    <t>総賃金</t>
    <rPh sb="0" eb="3">
      <t>ソウチンギn</t>
    </rPh>
    <phoneticPr fontId="2"/>
  </si>
  <si>
    <t>興行</t>
    <rPh sb="0" eb="2">
      <t>コウギョウ</t>
    </rPh>
    <phoneticPr fontId="2"/>
  </si>
  <si>
    <t>興行（N）</t>
    <rPh sb="0" eb="2">
      <t>コウギョウ</t>
    </rPh>
    <phoneticPr fontId="2"/>
  </si>
  <si>
    <t>興行以外の第三次産業</t>
    <rPh sb="0" eb="2">
      <t>コウギョウ</t>
    </rPh>
    <rPh sb="2" eb="4">
      <t>イガイ</t>
    </rPh>
    <rPh sb="5" eb="10">
      <t>ダイサンジ</t>
    </rPh>
    <phoneticPr fontId="2"/>
  </si>
  <si>
    <t>興行の労働者数</t>
    <rPh sb="0" eb="2">
      <t>コウギョウ</t>
    </rPh>
    <rPh sb="3" eb="7">
      <t>ロウドウ</t>
    </rPh>
    <phoneticPr fontId="2"/>
  </si>
  <si>
    <t>賃金/人</t>
    <rPh sb="0" eb="2">
      <t>チンギn</t>
    </rPh>
    <rPh sb="3" eb="4">
      <t>ヒト</t>
    </rPh>
    <phoneticPr fontId="2"/>
  </si>
  <si>
    <t>（千円）</t>
    <rPh sb="1" eb="2">
      <t>センエn</t>
    </rPh>
    <phoneticPr fontId="2"/>
  </si>
  <si>
    <t>（人）</t>
    <rPh sb="1" eb="2">
      <t>ニn</t>
    </rPh>
    <phoneticPr fontId="2"/>
  </si>
  <si>
    <t>（百万円）</t>
    <rPh sb="0" eb="1">
      <t>（</t>
    </rPh>
    <rPh sb="1" eb="4">
      <t>ヒャク</t>
    </rPh>
    <phoneticPr fontId="2"/>
  </si>
  <si>
    <t>松山市</t>
    <rPh sb="0" eb="3">
      <t>マツヤマ</t>
    </rPh>
    <phoneticPr fontId="2"/>
  </si>
  <si>
    <t>今治市</t>
    <rPh sb="0" eb="3">
      <t>イマ</t>
    </rPh>
    <phoneticPr fontId="2"/>
  </si>
  <si>
    <t>愛媛県</t>
    <rPh sb="0" eb="3">
      <t>エヒメ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</si>
</sst>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##0.0;&quot; -&quot;##0.0"/>
    <numFmt numFmtId="177" formatCode="00"/>
    <numFmt numFmtId="178" formatCode="####0.0;&quot;-&quot;###0.0"/>
    <numFmt numFmtId="182" formatCode="#,###"/>
    <numFmt numFmtId="183" formatCode="#,##0_ "/>
  </numFmts>
  <fonts count="10">
    <font>
      <sz val="11"/>
      <name val="ＭＳ 明朝"/>
      <family val="1"/>
      <charset val="128"/>
    </font>
    <font>
      <sz val="11"/>
      <name val="ＭＳ 明朝"/>
      <family val="1"/>
      <charset val="128"/>
    </font>
    <font>
      <sz val="6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b/>
      <sz val="11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0" borderId="0" xfId="0" applyFont="1"/>
    <xf numFmtId="0" fontId="5" fillId="0" borderId="0" xfId="0" applyFont="1" applyAlignment="1">
      <alignment vertical="center"/>
    </xf>
    <xf numFmtId="0" fontId="5" fillId="0" borderId="0" xfId="0" applyFont="1"/>
    <xf numFmtId="0" fontId="4" fillId="0" borderId="0" xfId="0" applyFont="1"/>
    <xf numFmtId="0" fontId="6" fillId="0" borderId="0" xfId="0" applyFont="1"/>
    <xf numFmtId="0" fontId="1" fillId="0" borderId="0" xfId="0" applyFont="1" applyAlignment="1">
      <alignment horizontal="right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7" fillId="0" borderId="0" xfId="0" applyFont="1"/>
    <xf numFmtId="0" fontId="6" fillId="0" borderId="23" xfId="0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6" fillId="0" borderId="26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7" fillId="0" borderId="8" xfId="0" applyFont="1" applyBorder="1" applyAlignment="1">
      <alignment horizontal="centerContinuous"/>
    </xf>
    <xf numFmtId="0" fontId="7" fillId="0" borderId="9" xfId="0" applyFont="1" applyBorder="1" applyAlignment="1">
      <alignment horizontal="centerContinuous"/>
    </xf>
    <xf numFmtId="0" fontId="7" fillId="0" borderId="0" xfId="0" applyFont="1" applyAlignment="1">
      <alignment horizontal="centerContinuous"/>
    </xf>
    <xf numFmtId="0" fontId="7" fillId="0" borderId="29" xfId="0" applyFont="1" applyBorder="1" applyAlignment="1">
      <alignment horizontal="right" vertical="top"/>
    </xf>
    <xf numFmtId="0" fontId="7" fillId="0" borderId="30" xfId="0" applyFont="1" applyBorder="1" applyAlignment="1">
      <alignment horizontal="right" vertical="top"/>
    </xf>
    <xf numFmtId="0" fontId="7" fillId="0" borderId="0" xfId="0" applyFont="1" applyAlignment="1">
      <alignment horizontal="right" vertical="top"/>
    </xf>
    <xf numFmtId="0" fontId="7" fillId="0" borderId="31" xfId="0" applyFont="1" applyBorder="1" applyAlignment="1">
      <alignment horizontal="right" vertical="top"/>
    </xf>
    <xf numFmtId="0" fontId="7" fillId="0" borderId="32" xfId="0" applyFont="1" applyBorder="1" applyAlignment="1">
      <alignment horizontal="right" vertical="top"/>
    </xf>
    <xf numFmtId="0" fontId="7" fillId="0" borderId="9" xfId="0" applyFont="1" applyBorder="1" applyAlignment="1">
      <alignment horizontal="right" vertical="top"/>
    </xf>
    <xf numFmtId="0" fontId="7" fillId="0" borderId="8" xfId="0" applyFont="1" applyBorder="1" applyAlignment="1">
      <alignment horizontal="right" vertical="top"/>
    </xf>
    <xf numFmtId="176" fontId="6" fillId="0" borderId="0" xfId="0" applyNumberFormat="1" applyFont="1" applyAlignment="1">
      <alignment horizontal="right"/>
    </xf>
    <xf numFmtId="176" fontId="6" fillId="0" borderId="0" xfId="0" quotePrefix="1" applyNumberFormat="1" applyFont="1" applyAlignment="1">
      <alignment horizontal="right"/>
    </xf>
    <xf numFmtId="176" fontId="6" fillId="0" borderId="29" xfId="0" applyNumberFormat="1" applyFont="1" applyBorder="1" applyAlignment="1">
      <alignment horizontal="right" shrinkToFit="1"/>
    </xf>
    <xf numFmtId="176" fontId="6" fillId="0" borderId="30" xfId="0" applyNumberFormat="1" applyFont="1" applyBorder="1" applyAlignment="1">
      <alignment horizontal="right" shrinkToFit="1"/>
    </xf>
    <xf numFmtId="176" fontId="6" fillId="0" borderId="29" xfId="0" applyNumberFormat="1" applyFont="1" applyBorder="1" applyAlignment="1">
      <alignment horizontal="right"/>
    </xf>
    <xf numFmtId="176" fontId="6" fillId="0" borderId="30" xfId="0" quotePrefix="1" applyNumberFormat="1" applyFont="1" applyBorder="1" applyAlignment="1">
      <alignment horizontal="right"/>
    </xf>
    <xf numFmtId="176" fontId="6" fillId="0" borderId="0" xfId="0" applyNumberFormat="1" applyFont="1" applyAlignment="1">
      <alignment horizontal="right" shrinkToFit="1"/>
    </xf>
    <xf numFmtId="176" fontId="6" fillId="0" borderId="9" xfId="0" quotePrefix="1" applyNumberFormat="1" applyFont="1" applyBorder="1" applyAlignment="1">
      <alignment horizontal="right"/>
    </xf>
    <xf numFmtId="176" fontId="6" fillId="0" borderId="8" xfId="0" quotePrefix="1" applyNumberFormat="1" applyFont="1" applyBorder="1" applyAlignment="1">
      <alignment horizontal="right"/>
    </xf>
    <xf numFmtId="176" fontId="6" fillId="0" borderId="29" xfId="0" quotePrefix="1" applyNumberFormat="1" applyFont="1" applyBorder="1" applyAlignment="1">
      <alignment horizontal="right"/>
    </xf>
    <xf numFmtId="176" fontId="6" fillId="0" borderId="9" xfId="0" applyNumberFormat="1" applyFont="1" applyBorder="1" applyAlignment="1">
      <alignment horizontal="right" shrinkToFit="1"/>
    </xf>
    <xf numFmtId="177" fontId="6" fillId="0" borderId="8" xfId="0" applyNumberFormat="1" applyFont="1" applyBorder="1" applyAlignment="1" applyProtection="1">
      <alignment horizontal="center"/>
      <protection locked="0"/>
    </xf>
    <xf numFmtId="0" fontId="6" fillId="0" borderId="9" xfId="0" applyFont="1" applyBorder="1" applyAlignment="1" applyProtection="1">
      <alignment horizontal="center"/>
      <protection locked="0"/>
    </xf>
    <xf numFmtId="176" fontId="6" fillId="0" borderId="30" xfId="0" applyNumberFormat="1" applyFont="1" applyBorder="1" applyAlignment="1">
      <alignment horizontal="right"/>
    </xf>
    <xf numFmtId="176" fontId="6" fillId="0" borderId="9" xfId="0" applyNumberFormat="1" applyFont="1" applyBorder="1" applyAlignment="1">
      <alignment horizontal="right"/>
    </xf>
    <xf numFmtId="176" fontId="6" fillId="0" borderId="8" xfId="0" applyNumberFormat="1" applyFont="1" applyBorder="1" applyAlignment="1">
      <alignment horizontal="right"/>
    </xf>
    <xf numFmtId="177" fontId="6" fillId="0" borderId="8" xfId="0" applyNumberFormat="1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177" fontId="6" fillId="0" borderId="21" xfId="0" applyNumberFormat="1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176" fontId="6" fillId="0" borderId="33" xfId="0" applyNumberFormat="1" applyFont="1" applyBorder="1" applyAlignment="1">
      <alignment horizontal="right"/>
    </xf>
    <xf numFmtId="176" fontId="6" fillId="0" borderId="34" xfId="0" applyNumberFormat="1" applyFont="1" applyBorder="1" applyAlignment="1">
      <alignment horizontal="right" shrinkToFit="1"/>
    </xf>
    <xf numFmtId="176" fontId="6" fillId="0" borderId="35" xfId="0" applyNumberFormat="1" applyFont="1" applyBorder="1" applyAlignment="1">
      <alignment horizontal="right" shrinkToFit="1"/>
    </xf>
    <xf numFmtId="176" fontId="6" fillId="0" borderId="34" xfId="0" applyNumberFormat="1" applyFont="1" applyBorder="1" applyAlignment="1">
      <alignment horizontal="right"/>
    </xf>
    <xf numFmtId="176" fontId="6" fillId="0" borderId="35" xfId="0" applyNumberFormat="1" applyFont="1" applyBorder="1" applyAlignment="1">
      <alignment horizontal="right"/>
    </xf>
    <xf numFmtId="176" fontId="6" fillId="0" borderId="33" xfId="0" applyNumberFormat="1" applyFont="1" applyBorder="1" applyAlignment="1">
      <alignment horizontal="right" shrinkToFit="1"/>
    </xf>
    <xf numFmtId="176" fontId="6" fillId="0" borderId="22" xfId="0" applyNumberFormat="1" applyFont="1" applyBorder="1" applyAlignment="1">
      <alignment horizontal="right"/>
    </xf>
    <xf numFmtId="176" fontId="6" fillId="0" borderId="21" xfId="0" applyNumberFormat="1" applyFont="1" applyBorder="1" applyAlignment="1">
      <alignment horizontal="right"/>
    </xf>
    <xf numFmtId="176" fontId="6" fillId="0" borderId="22" xfId="0" applyNumberFormat="1" applyFont="1" applyBorder="1" applyAlignment="1">
      <alignment horizontal="right" shrinkToFit="1"/>
    </xf>
    <xf numFmtId="0" fontId="7" fillId="0" borderId="30" xfId="0" applyFont="1" applyBorder="1" applyAlignment="1">
      <alignment horizontal="centerContinuous"/>
    </xf>
    <xf numFmtId="176" fontId="6" fillId="0" borderId="30" xfId="0" quotePrefix="1" applyNumberFormat="1" applyFont="1" applyBorder="1" applyAlignment="1">
      <alignment horizontal="right" shrinkToFit="1"/>
    </xf>
    <xf numFmtId="176" fontId="6" fillId="0" borderId="0" xfId="0" quotePrefix="1" applyNumberFormat="1" applyFont="1" applyAlignment="1">
      <alignment horizontal="right" shrinkToFit="1"/>
    </xf>
    <xf numFmtId="176" fontId="6" fillId="0" borderId="29" xfId="0" quotePrefix="1" applyNumberFormat="1" applyFont="1" applyBorder="1" applyAlignment="1">
      <alignment horizontal="right" shrinkToFit="1"/>
    </xf>
    <xf numFmtId="176" fontId="6" fillId="0" borderId="9" xfId="0" quotePrefix="1" applyNumberFormat="1" applyFont="1" applyBorder="1" applyAlignment="1">
      <alignment horizontal="right" shrinkToFit="1"/>
    </xf>
    <xf numFmtId="176" fontId="6" fillId="2" borderId="29" xfId="0" quotePrefix="1" applyNumberFormat="1" applyFont="1" applyFill="1" applyBorder="1" applyAlignment="1">
      <alignment horizontal="right" shrinkToFit="1"/>
    </xf>
    <xf numFmtId="176" fontId="6" fillId="2" borderId="30" xfId="0" quotePrefix="1" applyNumberFormat="1" applyFont="1" applyFill="1" applyBorder="1" applyAlignment="1">
      <alignment horizontal="right" shrinkToFit="1"/>
    </xf>
    <xf numFmtId="176" fontId="6" fillId="2" borderId="0" xfId="0" quotePrefix="1" applyNumberFormat="1" applyFont="1" applyFill="1" applyAlignment="1">
      <alignment horizontal="right" shrinkToFit="1"/>
    </xf>
    <xf numFmtId="178" fontId="6" fillId="0" borderId="0" xfId="0" applyNumberFormat="1" applyFont="1" applyAlignment="1">
      <alignment horizontal="right"/>
    </xf>
    <xf numFmtId="0" fontId="9" fillId="0" borderId="0" xfId="0" applyFont="1"/>
    <xf numFmtId="178" fontId="6" fillId="0" borderId="30" xfId="0" applyNumberFormat="1" applyFont="1" applyBorder="1" applyAlignment="1">
      <alignment horizontal="right"/>
    </xf>
    <xf numFmtId="178" fontId="6" fillId="0" borderId="35" xfId="0" applyNumberFormat="1" applyFont="1" applyBorder="1" applyAlignment="1">
      <alignment horizontal="right"/>
    </xf>
    <xf numFmtId="0" fontId="6" fillId="0" borderId="8" xfId="0" applyFont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0" fillId="0" borderId="0" xfId="0" applyFont="1"/>
    <xf numFmtId="177" fontId="6" fillId="0" borderId="0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176" fontId="6" fillId="0" borderId="0" xfId="0" applyNumberFormat="1" applyFont="1" applyBorder="1" applyAlignment="1">
      <alignment horizontal="right"/>
    </xf>
    <xf numFmtId="176" fontId="6" fillId="0" borderId="0" xfId="0" applyNumberFormat="1" applyFont="1" applyBorder="1" applyAlignment="1">
      <alignment horizontal="right" shrinkToFit="1"/>
    </xf>
    <xf numFmtId="0" fontId="0" fillId="0" borderId="14" xfId="0" applyFont="1" applyBorder="1"/>
    <xf numFmtId="0" fontId="0" fillId="0" borderId="36" xfId="0" applyFont="1" applyBorder="1"/>
    <xf numFmtId="0" fontId="0" fillId="0" borderId="16" xfId="0" applyFont="1" applyBorder="1"/>
    <xf numFmtId="0" fontId="1" fillId="0" borderId="14" xfId="0" applyFont="1" applyBorder="1"/>
    <xf numFmtId="0" fontId="1" fillId="0" borderId="36" xfId="0" applyFont="1" applyBorder="1"/>
    <xf numFmtId="0" fontId="1" fillId="0" borderId="16" xfId="0" applyFont="1" applyBorder="1"/>
    <xf numFmtId="0" fontId="0" fillId="0" borderId="14" xfId="0" applyBorder="1" applyAlignment="1">
      <alignment horizontal="right"/>
    </xf>
    <xf numFmtId="3" fontId="0" fillId="0" borderId="36" xfId="0" applyNumberFormat="1" applyBorder="1" applyAlignment="1">
      <alignment horizontal="right"/>
    </xf>
    <xf numFmtId="3" fontId="0" fillId="0" borderId="16" xfId="0" applyNumberFormat="1" applyBorder="1" applyAlignment="1">
      <alignment horizontal="right"/>
    </xf>
    <xf numFmtId="3" fontId="1" fillId="0" borderId="0" xfId="0" applyNumberFormat="1" applyFont="1"/>
    <xf numFmtId="0" fontId="6" fillId="0" borderId="14" xfId="0" applyFont="1" applyFill="1" applyBorder="1" applyAlignment="1">
      <alignment horizontal="center"/>
    </xf>
    <xf numFmtId="3" fontId="1" fillId="0" borderId="16" xfId="0" applyNumberFormat="1" applyFont="1" applyBorder="1"/>
    <xf numFmtId="182" fontId="0" fillId="0" borderId="0" xfId="0" applyNumberFormat="1" applyAlignment="1">
      <alignment horizontal="right"/>
    </xf>
    <xf numFmtId="182" fontId="0" fillId="0" borderId="36" xfId="0" applyNumberFormat="1" applyBorder="1" applyAlignment="1">
      <alignment horizontal="right"/>
    </xf>
    <xf numFmtId="182" fontId="0" fillId="0" borderId="16" xfId="0" applyNumberFormat="1" applyBorder="1" applyAlignment="1">
      <alignment horizontal="right"/>
    </xf>
    <xf numFmtId="183" fontId="1" fillId="0" borderId="36" xfId="0" applyNumberFormat="1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3D146-06CC-4FEA-AC81-B6AF4436200F}">
  <sheetPr codeName="Sheet10"/>
  <dimension ref="A1:AH77"/>
  <sheetViews>
    <sheetView showGridLines="0" tabSelected="1" view="pageBreakPreview" zoomScale="133" zoomScaleNormal="100" zoomScaleSheetLayoutView="100" workbookViewId="0">
      <pane xSplit="2" ySplit="7" topLeftCell="C59" activePane="bottomRight" state="frozen"/>
      <selection pane="topRight"/>
      <selection pane="bottomLeft"/>
      <selection pane="bottomRight" activeCell="G79" sqref="G79"/>
    </sheetView>
  </sheetViews>
  <sheetFormatPr baseColWidth="10" defaultColWidth="9" defaultRowHeight="14"/>
  <cols>
    <col min="1" max="1" width="3.83203125" style="1" customWidth="1"/>
    <col min="2" max="2" width="8.1640625" style="1" customWidth="1"/>
    <col min="3" max="18" width="15.6640625" style="1" customWidth="1"/>
    <col min="19" max="20" width="7.6640625" style="1" customWidth="1"/>
    <col min="21" max="22" width="8.1640625" style="1" customWidth="1"/>
    <col min="23" max="34" width="7.6640625" style="1" customWidth="1"/>
    <col min="35" max="16384" width="9" style="1"/>
  </cols>
  <sheetData>
    <row r="1" spans="1:34">
      <c r="C1" t="s">
        <v>0</v>
      </c>
      <c r="S1" t="s">
        <v>0</v>
      </c>
    </row>
    <row r="2" spans="1:34" s="3" customFormat="1" ht="24.75" customHeight="1">
      <c r="A2" s="90" t="s">
        <v>1</v>
      </c>
      <c r="B2" s="90"/>
      <c r="C2" s="2" t="s">
        <v>2</v>
      </c>
      <c r="E2" s="4"/>
      <c r="S2" s="2" t="s">
        <v>2</v>
      </c>
    </row>
    <row r="3" spans="1:34" ht="15" thickBot="1">
      <c r="B3" s="5"/>
      <c r="C3" s="5"/>
      <c r="D3" s="5"/>
      <c r="R3" s="6" t="s">
        <v>3</v>
      </c>
      <c r="AD3" s="6"/>
      <c r="AE3" s="6"/>
      <c r="AF3" s="6"/>
      <c r="AH3" s="6" t="s">
        <v>3</v>
      </c>
    </row>
    <row r="4" spans="1:34" ht="28.5" customHeight="1">
      <c r="A4" s="91" t="s">
        <v>4</v>
      </c>
      <c r="B4" s="92"/>
      <c r="C4" s="97" t="s">
        <v>5</v>
      </c>
      <c r="D4" s="89"/>
      <c r="E4" s="83" t="s">
        <v>6</v>
      </c>
      <c r="F4" s="84"/>
      <c r="G4" s="83" t="s">
        <v>7</v>
      </c>
      <c r="H4" s="84"/>
      <c r="I4" s="79" t="s">
        <v>8</v>
      </c>
      <c r="J4" s="78"/>
      <c r="K4" s="83" t="s">
        <v>9</v>
      </c>
      <c r="L4" s="84"/>
      <c r="M4" s="78" t="s">
        <v>10</v>
      </c>
      <c r="N4" s="85"/>
      <c r="O4" s="79" t="s">
        <v>11</v>
      </c>
      <c r="P4" s="84"/>
      <c r="Q4" s="79" t="s">
        <v>12</v>
      </c>
      <c r="R4" s="86"/>
      <c r="S4" s="87" t="s">
        <v>13</v>
      </c>
      <c r="T4" s="78"/>
      <c r="U4" s="88" t="s">
        <v>14</v>
      </c>
      <c r="V4" s="89"/>
      <c r="W4" s="78" t="s">
        <v>15</v>
      </c>
      <c r="X4" s="78"/>
      <c r="Y4" s="79" t="s">
        <v>16</v>
      </c>
      <c r="Z4" s="80"/>
      <c r="AA4" s="78" t="s">
        <v>17</v>
      </c>
      <c r="AB4" s="80"/>
      <c r="AC4" s="79" t="s">
        <v>18</v>
      </c>
      <c r="AD4" s="80"/>
      <c r="AE4" s="79" t="s">
        <v>19</v>
      </c>
      <c r="AF4" s="80"/>
      <c r="AG4" s="81" t="s">
        <v>20</v>
      </c>
      <c r="AH4" s="82"/>
    </row>
    <row r="5" spans="1:34" s="18" customFormat="1">
      <c r="A5" s="93"/>
      <c r="B5" s="94"/>
      <c r="C5" s="7" t="s">
        <v>21</v>
      </c>
      <c r="D5" s="8" t="s">
        <v>22</v>
      </c>
      <c r="E5" s="9" t="s">
        <v>21</v>
      </c>
      <c r="F5" s="10" t="s">
        <v>22</v>
      </c>
      <c r="G5" s="9" t="s">
        <v>21</v>
      </c>
      <c r="H5" s="10" t="s">
        <v>22</v>
      </c>
      <c r="I5" s="11" t="s">
        <v>21</v>
      </c>
      <c r="J5" s="8" t="s">
        <v>22</v>
      </c>
      <c r="K5" s="9" t="s">
        <v>21</v>
      </c>
      <c r="L5" s="12" t="s">
        <v>22</v>
      </c>
      <c r="M5" s="11" t="s">
        <v>21</v>
      </c>
      <c r="N5" s="13" t="s">
        <v>23</v>
      </c>
      <c r="O5" s="9" t="s">
        <v>21</v>
      </c>
      <c r="P5" s="10" t="s">
        <v>22</v>
      </c>
      <c r="Q5" s="14" t="s">
        <v>21</v>
      </c>
      <c r="R5" s="15" t="s">
        <v>22</v>
      </c>
      <c r="S5" s="7" t="s">
        <v>21</v>
      </c>
      <c r="T5" s="8" t="s">
        <v>22</v>
      </c>
      <c r="U5" s="14" t="s">
        <v>21</v>
      </c>
      <c r="V5" s="12" t="s">
        <v>22</v>
      </c>
      <c r="W5" s="16" t="s">
        <v>21</v>
      </c>
      <c r="X5" s="8" t="s">
        <v>22</v>
      </c>
      <c r="Y5" s="14" t="s">
        <v>21</v>
      </c>
      <c r="Z5" s="12" t="s">
        <v>22</v>
      </c>
      <c r="AA5" s="11" t="s">
        <v>21</v>
      </c>
      <c r="AB5" s="13" t="s">
        <v>22</v>
      </c>
      <c r="AC5" s="9" t="s">
        <v>21</v>
      </c>
      <c r="AD5" s="10" t="s">
        <v>22</v>
      </c>
      <c r="AE5" s="14" t="s">
        <v>21</v>
      </c>
      <c r="AF5" s="12" t="s">
        <v>22</v>
      </c>
      <c r="AG5" s="11" t="s">
        <v>21</v>
      </c>
      <c r="AH5" s="17" t="s">
        <v>22</v>
      </c>
    </row>
    <row r="6" spans="1:34" ht="15" thickBot="1">
      <c r="A6" s="95"/>
      <c r="B6" s="96"/>
      <c r="C6" s="19" t="s">
        <v>24</v>
      </c>
      <c r="D6" s="20" t="s">
        <v>25</v>
      </c>
      <c r="E6" s="21" t="s">
        <v>24</v>
      </c>
      <c r="F6" s="22" t="s">
        <v>25</v>
      </c>
      <c r="G6" s="21" t="s">
        <v>24</v>
      </c>
      <c r="H6" s="22" t="s">
        <v>25</v>
      </c>
      <c r="I6" s="23" t="s">
        <v>24</v>
      </c>
      <c r="J6" s="20" t="s">
        <v>25</v>
      </c>
      <c r="K6" s="21" t="s">
        <v>24</v>
      </c>
      <c r="L6" s="22" t="s">
        <v>25</v>
      </c>
      <c r="M6" s="23" t="s">
        <v>24</v>
      </c>
      <c r="N6" s="20" t="s">
        <v>25</v>
      </c>
      <c r="O6" s="21" t="s">
        <v>24</v>
      </c>
      <c r="P6" s="22" t="s">
        <v>25</v>
      </c>
      <c r="Q6" s="21" t="s">
        <v>24</v>
      </c>
      <c r="R6" s="24" t="s">
        <v>25</v>
      </c>
      <c r="S6" s="19" t="s">
        <v>24</v>
      </c>
      <c r="T6" s="20" t="s">
        <v>25</v>
      </c>
      <c r="U6" s="21" t="s">
        <v>24</v>
      </c>
      <c r="V6" s="22" t="s">
        <v>25</v>
      </c>
      <c r="W6" s="23" t="s">
        <v>24</v>
      </c>
      <c r="X6" s="20" t="s">
        <v>25</v>
      </c>
      <c r="Y6" s="21" t="s">
        <v>24</v>
      </c>
      <c r="Z6" s="22" t="s">
        <v>25</v>
      </c>
      <c r="AA6" s="23" t="s">
        <v>24</v>
      </c>
      <c r="AB6" s="20" t="s">
        <v>25</v>
      </c>
      <c r="AC6" s="21" t="s">
        <v>24</v>
      </c>
      <c r="AD6" s="22" t="s">
        <v>25</v>
      </c>
      <c r="AE6" s="21" t="s">
        <v>24</v>
      </c>
      <c r="AF6" s="22" t="s">
        <v>25</v>
      </c>
      <c r="AG6" s="23" t="s">
        <v>24</v>
      </c>
      <c r="AH6" s="24" t="s">
        <v>25</v>
      </c>
    </row>
    <row r="7" spans="1:34" ht="7.5" customHeight="1">
      <c r="A7" s="25"/>
      <c r="B7" s="26"/>
      <c r="C7" s="25"/>
      <c r="D7" s="27"/>
      <c r="E7" s="28"/>
      <c r="F7" s="29"/>
      <c r="G7" s="28"/>
      <c r="H7" s="29"/>
      <c r="I7" s="28"/>
      <c r="J7" s="30"/>
      <c r="K7" s="31"/>
      <c r="L7" s="32"/>
      <c r="M7" s="30"/>
      <c r="N7" s="30"/>
      <c r="O7" s="28"/>
      <c r="P7" s="29"/>
      <c r="Q7" s="28"/>
      <c r="R7" s="33"/>
      <c r="S7" s="34"/>
      <c r="T7" s="30"/>
      <c r="U7" s="28"/>
      <c r="V7" s="29"/>
      <c r="W7" s="30"/>
      <c r="X7" s="30"/>
      <c r="Y7" s="28"/>
      <c r="Z7" s="29"/>
      <c r="AA7" s="30"/>
      <c r="AB7" s="30"/>
      <c r="AC7" s="28"/>
      <c r="AD7" s="29"/>
      <c r="AE7" s="28"/>
      <c r="AF7" s="29"/>
      <c r="AG7" s="30"/>
      <c r="AH7" s="33"/>
    </row>
    <row r="8" spans="1:34" ht="13.5" customHeight="1">
      <c r="A8" s="76" t="s">
        <v>26</v>
      </c>
      <c r="B8" s="77"/>
      <c r="C8" s="35">
        <v>372.3</v>
      </c>
      <c r="D8" s="36">
        <v>1399.2</v>
      </c>
      <c r="E8" s="37">
        <v>352.6</v>
      </c>
      <c r="F8" s="38">
        <v>1045.7</v>
      </c>
      <c r="G8" s="37">
        <v>318.60000000000002</v>
      </c>
      <c r="H8" s="38">
        <v>1098.2</v>
      </c>
      <c r="I8" s="35">
        <v>437.5</v>
      </c>
      <c r="J8" s="36">
        <v>1475.4</v>
      </c>
      <c r="K8" s="39">
        <v>391</v>
      </c>
      <c r="L8" s="40">
        <v>1287</v>
      </c>
      <c r="M8" s="41">
        <v>304.7</v>
      </c>
      <c r="N8" s="41">
        <v>708.8</v>
      </c>
      <c r="O8" s="37">
        <v>343.6</v>
      </c>
      <c r="P8" s="38">
        <v>1064.0999999999999</v>
      </c>
      <c r="Q8" s="36">
        <v>410.6</v>
      </c>
      <c r="R8" s="42">
        <v>1433.1</v>
      </c>
      <c r="S8" s="43">
        <v>371.6</v>
      </c>
      <c r="T8" s="36">
        <v>1220.7</v>
      </c>
      <c r="U8" s="44">
        <v>401.8</v>
      </c>
      <c r="V8" s="40">
        <v>1379.3</v>
      </c>
      <c r="W8" s="36">
        <v>269.5</v>
      </c>
      <c r="X8" s="36">
        <v>379.5</v>
      </c>
      <c r="Y8" s="44">
        <v>285.7</v>
      </c>
      <c r="Z8" s="40">
        <v>461.2</v>
      </c>
      <c r="AA8" s="36">
        <v>376.2</v>
      </c>
      <c r="AB8" s="36">
        <v>1295.7</v>
      </c>
      <c r="AC8" s="37">
        <v>306.39999999999998</v>
      </c>
      <c r="AD8" s="38">
        <v>697</v>
      </c>
      <c r="AE8" s="44">
        <v>306.89999999999998</v>
      </c>
      <c r="AF8" s="40">
        <v>1058.9000000000001</v>
      </c>
      <c r="AG8" s="41">
        <v>285.8</v>
      </c>
      <c r="AH8" s="45">
        <v>522.9</v>
      </c>
    </row>
    <row r="9" spans="1:34" ht="21" customHeight="1">
      <c r="A9" s="46">
        <v>1</v>
      </c>
      <c r="B9" s="47" t="s">
        <v>27</v>
      </c>
      <c r="C9" s="35">
        <v>309.3</v>
      </c>
      <c r="D9" s="36">
        <v>843.8</v>
      </c>
      <c r="E9" s="37">
        <v>331.1</v>
      </c>
      <c r="F9" s="38">
        <v>878.5</v>
      </c>
      <c r="G9" s="37">
        <v>264.3</v>
      </c>
      <c r="H9" s="38">
        <v>825.3</v>
      </c>
      <c r="I9" s="35">
        <v>357.7</v>
      </c>
      <c r="J9" s="35">
        <v>1425.6</v>
      </c>
      <c r="K9" s="39">
        <v>328.2</v>
      </c>
      <c r="L9" s="48">
        <v>924.8</v>
      </c>
      <c r="M9" s="41">
        <v>274.7</v>
      </c>
      <c r="N9" s="41">
        <v>589.20000000000005</v>
      </c>
      <c r="O9" s="37">
        <v>287.8</v>
      </c>
      <c r="P9" s="38">
        <v>743.2</v>
      </c>
      <c r="Q9" s="35">
        <v>344.7</v>
      </c>
      <c r="R9" s="49">
        <v>1068.9000000000001</v>
      </c>
      <c r="S9" s="50">
        <v>285.39999999999998</v>
      </c>
      <c r="T9" s="35">
        <v>755.2</v>
      </c>
      <c r="U9" s="39">
        <v>330.4</v>
      </c>
      <c r="V9" s="48">
        <v>1195.5</v>
      </c>
      <c r="W9" s="35">
        <v>257.89999999999998</v>
      </c>
      <c r="X9" s="35">
        <v>382.3</v>
      </c>
      <c r="Y9" s="39">
        <v>243.9</v>
      </c>
      <c r="Z9" s="48">
        <v>312</v>
      </c>
      <c r="AA9" s="35">
        <v>341.2</v>
      </c>
      <c r="AB9" s="35">
        <v>991.9</v>
      </c>
      <c r="AC9" s="37">
        <v>287.10000000000002</v>
      </c>
      <c r="AD9" s="38">
        <v>608.6</v>
      </c>
      <c r="AE9" s="39">
        <v>293.39999999999998</v>
      </c>
      <c r="AF9" s="48">
        <v>1157</v>
      </c>
      <c r="AG9" s="41">
        <v>251.2</v>
      </c>
      <c r="AH9" s="45">
        <v>468.6</v>
      </c>
    </row>
    <row r="10" spans="1:34">
      <c r="A10" s="46">
        <v>2</v>
      </c>
      <c r="B10" s="47" t="s">
        <v>28</v>
      </c>
      <c r="C10" s="35">
        <v>309.60000000000002</v>
      </c>
      <c r="D10" s="35">
        <v>1267.4000000000001</v>
      </c>
      <c r="E10" s="37">
        <v>295.89999999999998</v>
      </c>
      <c r="F10" s="38">
        <v>879.4</v>
      </c>
      <c r="G10" s="37">
        <v>228.7</v>
      </c>
      <c r="H10" s="38">
        <v>516.9</v>
      </c>
      <c r="I10" s="35">
        <v>427.7</v>
      </c>
      <c r="J10" s="35">
        <v>1544.6</v>
      </c>
      <c r="K10" s="39">
        <v>292.8</v>
      </c>
      <c r="L10" s="48">
        <v>810.6</v>
      </c>
      <c r="M10" s="41">
        <v>227.7</v>
      </c>
      <c r="N10" s="41">
        <v>436.8</v>
      </c>
      <c r="O10" s="37">
        <v>263.3</v>
      </c>
      <c r="P10" s="38">
        <v>723.6</v>
      </c>
      <c r="Q10" s="35">
        <v>324.10000000000002</v>
      </c>
      <c r="R10" s="49">
        <v>1065.0999999999999</v>
      </c>
      <c r="S10" s="50">
        <v>274.10000000000002</v>
      </c>
      <c r="T10" s="35">
        <v>886.5</v>
      </c>
      <c r="U10" s="39">
        <v>320</v>
      </c>
      <c r="V10" s="48">
        <v>828.5</v>
      </c>
      <c r="W10" s="35">
        <v>215.7</v>
      </c>
      <c r="X10" s="35">
        <v>260</v>
      </c>
      <c r="Y10" s="39">
        <v>241.1</v>
      </c>
      <c r="Z10" s="48">
        <v>389</v>
      </c>
      <c r="AA10" s="35">
        <v>305</v>
      </c>
      <c r="AB10" s="35">
        <v>916.7</v>
      </c>
      <c r="AC10" s="37">
        <v>265.8</v>
      </c>
      <c r="AD10" s="38">
        <v>613.4</v>
      </c>
      <c r="AE10" s="39">
        <v>258</v>
      </c>
      <c r="AF10" s="48">
        <v>841.2</v>
      </c>
      <c r="AG10" s="41">
        <v>215.7</v>
      </c>
      <c r="AH10" s="45">
        <v>374</v>
      </c>
    </row>
    <row r="11" spans="1:34">
      <c r="A11" s="46">
        <v>3</v>
      </c>
      <c r="B11" s="47" t="s">
        <v>29</v>
      </c>
      <c r="C11" s="35">
        <v>273.10000000000002</v>
      </c>
      <c r="D11" s="35">
        <v>807.1</v>
      </c>
      <c r="E11" s="37">
        <v>299.2</v>
      </c>
      <c r="F11" s="38">
        <v>891.2</v>
      </c>
      <c r="G11" s="37">
        <v>261.3</v>
      </c>
      <c r="H11" s="38">
        <v>843.1</v>
      </c>
      <c r="I11" s="35">
        <v>434.3</v>
      </c>
      <c r="J11" s="35">
        <v>1664.4</v>
      </c>
      <c r="K11" s="39">
        <v>331.2</v>
      </c>
      <c r="L11" s="48">
        <v>1191</v>
      </c>
      <c r="M11" s="41">
        <v>272.8</v>
      </c>
      <c r="N11" s="41">
        <v>462.2</v>
      </c>
      <c r="O11" s="37">
        <v>244.3</v>
      </c>
      <c r="P11" s="38">
        <v>651.9</v>
      </c>
      <c r="Q11" s="35">
        <v>317.8</v>
      </c>
      <c r="R11" s="49">
        <v>1026.9000000000001</v>
      </c>
      <c r="S11" s="50">
        <v>297.7</v>
      </c>
      <c r="T11" s="35">
        <v>813.5</v>
      </c>
      <c r="U11" s="39">
        <v>319.5</v>
      </c>
      <c r="V11" s="48">
        <v>1130.4000000000001</v>
      </c>
      <c r="W11" s="35">
        <v>217.9</v>
      </c>
      <c r="X11" s="35">
        <v>261</v>
      </c>
      <c r="Y11" s="39">
        <v>222.3</v>
      </c>
      <c r="Z11" s="48">
        <v>273.39999999999998</v>
      </c>
      <c r="AA11" s="35">
        <v>287.5</v>
      </c>
      <c r="AB11" s="35">
        <v>794.7</v>
      </c>
      <c r="AC11" s="37">
        <v>279.60000000000002</v>
      </c>
      <c r="AD11" s="38">
        <v>785.7</v>
      </c>
      <c r="AE11" s="39">
        <v>292.7</v>
      </c>
      <c r="AF11" s="48">
        <v>824</v>
      </c>
      <c r="AG11" s="41">
        <v>235.3</v>
      </c>
      <c r="AH11" s="45">
        <v>393</v>
      </c>
    </row>
    <row r="12" spans="1:34">
      <c r="A12" s="46">
        <v>4</v>
      </c>
      <c r="B12" s="47" t="s">
        <v>30</v>
      </c>
      <c r="C12" s="35">
        <v>257.89999999999998</v>
      </c>
      <c r="D12" s="35">
        <v>1424.6</v>
      </c>
      <c r="E12" s="37">
        <v>352.8</v>
      </c>
      <c r="F12" s="38">
        <v>1138.3</v>
      </c>
      <c r="G12" s="37">
        <v>278.7</v>
      </c>
      <c r="H12" s="38">
        <v>845.6</v>
      </c>
      <c r="I12" s="35">
        <v>497.4</v>
      </c>
      <c r="J12" s="35">
        <v>1858.4</v>
      </c>
      <c r="K12" s="39">
        <v>333.4</v>
      </c>
      <c r="L12" s="48">
        <v>1162.7</v>
      </c>
      <c r="M12" s="41">
        <v>269.8</v>
      </c>
      <c r="N12" s="41">
        <v>604.79999999999995</v>
      </c>
      <c r="O12" s="37">
        <v>301.7</v>
      </c>
      <c r="P12" s="38">
        <v>902.2</v>
      </c>
      <c r="Q12" s="35">
        <v>333.1</v>
      </c>
      <c r="R12" s="49">
        <v>1165.2</v>
      </c>
      <c r="S12" s="50">
        <v>322.5</v>
      </c>
      <c r="T12" s="35">
        <v>1107.2</v>
      </c>
      <c r="U12" s="39">
        <v>388.7</v>
      </c>
      <c r="V12" s="48">
        <v>1395.1</v>
      </c>
      <c r="W12" s="35">
        <v>242.4</v>
      </c>
      <c r="X12" s="35">
        <v>291.60000000000002</v>
      </c>
      <c r="Y12" s="39">
        <v>251.3</v>
      </c>
      <c r="Z12" s="48">
        <v>294.89999999999998</v>
      </c>
      <c r="AA12" s="35">
        <v>348.3</v>
      </c>
      <c r="AB12" s="35">
        <v>1103.5</v>
      </c>
      <c r="AC12" s="37">
        <v>288.8</v>
      </c>
      <c r="AD12" s="38">
        <v>676.5</v>
      </c>
      <c r="AE12" s="39">
        <v>299.3</v>
      </c>
      <c r="AF12" s="48">
        <v>926.1</v>
      </c>
      <c r="AG12" s="41">
        <v>256</v>
      </c>
      <c r="AH12" s="45">
        <v>499.8</v>
      </c>
    </row>
    <row r="13" spans="1:34">
      <c r="A13" s="51">
        <v>5</v>
      </c>
      <c r="B13" s="52" t="s">
        <v>31</v>
      </c>
      <c r="C13" s="35">
        <v>280.3</v>
      </c>
      <c r="D13" s="35">
        <v>846.3</v>
      </c>
      <c r="E13" s="37">
        <v>284</v>
      </c>
      <c r="F13" s="38">
        <v>628.1</v>
      </c>
      <c r="G13" s="37">
        <v>242.3</v>
      </c>
      <c r="H13" s="38">
        <v>665.8</v>
      </c>
      <c r="I13" s="35">
        <v>411.2</v>
      </c>
      <c r="J13" s="35">
        <v>1493.4</v>
      </c>
      <c r="K13" s="39">
        <v>319.8</v>
      </c>
      <c r="L13" s="48">
        <v>991.4</v>
      </c>
      <c r="M13" s="41">
        <v>252.5</v>
      </c>
      <c r="N13" s="41">
        <v>744.4</v>
      </c>
      <c r="O13" s="37">
        <v>242.1</v>
      </c>
      <c r="P13" s="38">
        <v>563.5</v>
      </c>
      <c r="Q13" s="35">
        <v>337.5</v>
      </c>
      <c r="R13" s="49">
        <v>1072.3</v>
      </c>
      <c r="S13" s="50">
        <v>274.89999999999998</v>
      </c>
      <c r="T13" s="35">
        <v>638.29999999999995</v>
      </c>
      <c r="U13" s="39">
        <v>323.5</v>
      </c>
      <c r="V13" s="48">
        <v>1238.8</v>
      </c>
      <c r="W13" s="35">
        <v>216.6</v>
      </c>
      <c r="X13" s="35">
        <v>205</v>
      </c>
      <c r="Y13" s="39">
        <v>242</v>
      </c>
      <c r="Z13" s="48">
        <v>371.2</v>
      </c>
      <c r="AA13" s="35">
        <v>322.2</v>
      </c>
      <c r="AB13" s="35">
        <v>822.5</v>
      </c>
      <c r="AC13" s="37">
        <v>287.39999999999998</v>
      </c>
      <c r="AD13" s="38">
        <v>659.6</v>
      </c>
      <c r="AE13" s="39">
        <v>279.7</v>
      </c>
      <c r="AF13" s="48">
        <v>681.3</v>
      </c>
      <c r="AG13" s="41">
        <v>221.7</v>
      </c>
      <c r="AH13" s="45">
        <v>440.9</v>
      </c>
    </row>
    <row r="14" spans="1:34" ht="21" customHeight="1">
      <c r="A14" s="46">
        <v>6</v>
      </c>
      <c r="B14" s="47" t="s">
        <v>32</v>
      </c>
      <c r="C14" s="35">
        <v>284</v>
      </c>
      <c r="D14" s="35">
        <v>607.20000000000005</v>
      </c>
      <c r="E14" s="37">
        <v>298.5</v>
      </c>
      <c r="F14" s="38">
        <v>743.1</v>
      </c>
      <c r="G14" s="37">
        <v>268.3</v>
      </c>
      <c r="H14" s="38">
        <v>841.2</v>
      </c>
      <c r="I14" s="35">
        <v>387.5</v>
      </c>
      <c r="J14" s="35">
        <v>1364.3</v>
      </c>
      <c r="K14" s="39">
        <v>321.39999999999998</v>
      </c>
      <c r="L14" s="48">
        <v>1172.5</v>
      </c>
      <c r="M14" s="41">
        <v>258.7</v>
      </c>
      <c r="N14" s="41">
        <v>433.5</v>
      </c>
      <c r="O14" s="37">
        <v>255.4</v>
      </c>
      <c r="P14" s="38">
        <v>643.4</v>
      </c>
      <c r="Q14" s="35">
        <v>331.6</v>
      </c>
      <c r="R14" s="49">
        <v>1054.2</v>
      </c>
      <c r="S14" s="50">
        <v>275</v>
      </c>
      <c r="T14" s="35">
        <v>639.20000000000005</v>
      </c>
      <c r="U14" s="39">
        <v>309.5</v>
      </c>
      <c r="V14" s="48">
        <v>892</v>
      </c>
      <c r="W14" s="35">
        <v>232.1</v>
      </c>
      <c r="X14" s="35">
        <v>258.60000000000002</v>
      </c>
      <c r="Y14" s="39">
        <v>245.1</v>
      </c>
      <c r="Z14" s="48">
        <v>361</v>
      </c>
      <c r="AA14" s="35">
        <v>303.60000000000002</v>
      </c>
      <c r="AB14" s="35">
        <v>976</v>
      </c>
      <c r="AC14" s="37">
        <v>277.5</v>
      </c>
      <c r="AD14" s="38">
        <v>715</v>
      </c>
      <c r="AE14" s="39">
        <v>273.60000000000002</v>
      </c>
      <c r="AF14" s="48">
        <v>840.9</v>
      </c>
      <c r="AG14" s="41">
        <v>238.7</v>
      </c>
      <c r="AH14" s="45">
        <v>427.1</v>
      </c>
    </row>
    <row r="15" spans="1:34">
      <c r="A15" s="46">
        <v>7</v>
      </c>
      <c r="B15" s="47" t="s">
        <v>33</v>
      </c>
      <c r="C15" s="35">
        <v>272.2</v>
      </c>
      <c r="D15" s="35">
        <v>707.7</v>
      </c>
      <c r="E15" s="37">
        <v>295.7</v>
      </c>
      <c r="F15" s="38">
        <v>656.8</v>
      </c>
      <c r="G15" s="37">
        <v>277.7</v>
      </c>
      <c r="H15" s="38">
        <v>925.1</v>
      </c>
      <c r="I15" s="35">
        <v>448.6</v>
      </c>
      <c r="J15" s="35">
        <v>1294.5999999999999</v>
      </c>
      <c r="K15" s="39">
        <v>332.6</v>
      </c>
      <c r="L15" s="48">
        <v>1151.4000000000001</v>
      </c>
      <c r="M15" s="41">
        <v>254.1</v>
      </c>
      <c r="N15" s="41">
        <v>375.4</v>
      </c>
      <c r="O15" s="37">
        <v>254.2</v>
      </c>
      <c r="P15" s="38">
        <v>550.70000000000005</v>
      </c>
      <c r="Q15" s="35">
        <v>327.9</v>
      </c>
      <c r="R15" s="49">
        <v>1030.5</v>
      </c>
      <c r="S15" s="50">
        <v>296.8</v>
      </c>
      <c r="T15" s="35">
        <v>779.7</v>
      </c>
      <c r="U15" s="39">
        <v>317.39999999999998</v>
      </c>
      <c r="V15" s="48">
        <v>1107.9000000000001</v>
      </c>
      <c r="W15" s="35">
        <v>222.5</v>
      </c>
      <c r="X15" s="35">
        <v>203</v>
      </c>
      <c r="Y15" s="39">
        <v>255.5</v>
      </c>
      <c r="Z15" s="48">
        <v>400.1</v>
      </c>
      <c r="AA15" s="35">
        <v>330.3</v>
      </c>
      <c r="AB15" s="35">
        <v>946.6</v>
      </c>
      <c r="AC15" s="37">
        <v>284.2</v>
      </c>
      <c r="AD15" s="38">
        <v>653.29999999999995</v>
      </c>
      <c r="AE15" s="39">
        <v>280.10000000000002</v>
      </c>
      <c r="AF15" s="48">
        <v>842.8</v>
      </c>
      <c r="AG15" s="41">
        <v>249.7</v>
      </c>
      <c r="AH15" s="45">
        <v>420.3</v>
      </c>
    </row>
    <row r="16" spans="1:34">
      <c r="A16" s="46">
        <v>8</v>
      </c>
      <c r="B16" s="47" t="s">
        <v>34</v>
      </c>
      <c r="C16" s="35">
        <v>345</v>
      </c>
      <c r="D16" s="35">
        <v>850.8</v>
      </c>
      <c r="E16" s="37">
        <v>340.6</v>
      </c>
      <c r="F16" s="38">
        <v>634.4</v>
      </c>
      <c r="G16" s="37">
        <v>313.8</v>
      </c>
      <c r="H16" s="38">
        <v>1168.3</v>
      </c>
      <c r="I16" s="35">
        <v>455</v>
      </c>
      <c r="J16" s="35">
        <v>936.1</v>
      </c>
      <c r="K16" s="39">
        <v>341</v>
      </c>
      <c r="L16" s="48">
        <v>1274.5999999999999</v>
      </c>
      <c r="M16" s="41">
        <v>298.7</v>
      </c>
      <c r="N16" s="41">
        <v>493.8</v>
      </c>
      <c r="O16" s="37">
        <v>309.8</v>
      </c>
      <c r="P16" s="38">
        <v>833.3</v>
      </c>
      <c r="Q16" s="35">
        <v>347.2</v>
      </c>
      <c r="R16" s="49">
        <v>1091.4000000000001</v>
      </c>
      <c r="S16" s="50">
        <v>304.5</v>
      </c>
      <c r="T16" s="35">
        <v>884.2</v>
      </c>
      <c r="U16" s="39">
        <v>418.7</v>
      </c>
      <c r="V16" s="48">
        <v>1730.6</v>
      </c>
      <c r="W16" s="35">
        <v>235.8</v>
      </c>
      <c r="X16" s="35">
        <v>263.39999999999998</v>
      </c>
      <c r="Y16" s="39">
        <v>269.89999999999998</v>
      </c>
      <c r="Z16" s="48">
        <v>412.2</v>
      </c>
      <c r="AA16" s="35">
        <v>378.9</v>
      </c>
      <c r="AB16" s="35">
        <v>1303.4000000000001</v>
      </c>
      <c r="AC16" s="37">
        <v>294.10000000000002</v>
      </c>
      <c r="AD16" s="38">
        <v>657.5</v>
      </c>
      <c r="AE16" s="39">
        <v>287.89999999999998</v>
      </c>
      <c r="AF16" s="48">
        <v>820.8</v>
      </c>
      <c r="AG16" s="41">
        <v>259.5</v>
      </c>
      <c r="AH16" s="45">
        <v>517.29999999999995</v>
      </c>
    </row>
    <row r="17" spans="1:34">
      <c r="A17" s="46">
        <v>9</v>
      </c>
      <c r="B17" s="47" t="s">
        <v>35</v>
      </c>
      <c r="C17" s="35">
        <v>349.2</v>
      </c>
      <c r="D17" s="35">
        <v>1366.4</v>
      </c>
      <c r="E17" s="37">
        <v>337.4</v>
      </c>
      <c r="F17" s="38">
        <v>909.4</v>
      </c>
      <c r="G17" s="37">
        <v>319.8</v>
      </c>
      <c r="H17" s="38">
        <v>1075.5</v>
      </c>
      <c r="I17" s="35">
        <v>460.9</v>
      </c>
      <c r="J17" s="35">
        <v>532</v>
      </c>
      <c r="K17" s="39">
        <v>333</v>
      </c>
      <c r="L17" s="48">
        <v>1126.8</v>
      </c>
      <c r="M17" s="41">
        <v>307.8</v>
      </c>
      <c r="N17" s="41">
        <v>831.6</v>
      </c>
      <c r="O17" s="37">
        <v>289.7</v>
      </c>
      <c r="P17" s="38">
        <v>681.9</v>
      </c>
      <c r="Q17" s="35">
        <v>361.5</v>
      </c>
      <c r="R17" s="49">
        <v>1219.9000000000001</v>
      </c>
      <c r="S17" s="50">
        <v>271.3</v>
      </c>
      <c r="T17" s="35">
        <v>747.5</v>
      </c>
      <c r="U17" s="39">
        <v>397.8</v>
      </c>
      <c r="V17" s="48">
        <v>557.79999999999995</v>
      </c>
      <c r="W17" s="35">
        <v>264.7</v>
      </c>
      <c r="X17" s="35">
        <v>338</v>
      </c>
      <c r="Y17" s="39">
        <v>249.7</v>
      </c>
      <c r="Z17" s="48">
        <v>299.7</v>
      </c>
      <c r="AA17" s="35">
        <v>334.6</v>
      </c>
      <c r="AB17" s="35">
        <v>881.7</v>
      </c>
      <c r="AC17" s="37">
        <v>290.39999999999998</v>
      </c>
      <c r="AD17" s="38">
        <v>703.4</v>
      </c>
      <c r="AE17" s="39">
        <v>299.39999999999998</v>
      </c>
      <c r="AF17" s="48">
        <v>999.1</v>
      </c>
      <c r="AG17" s="41">
        <v>255.2</v>
      </c>
      <c r="AH17" s="45">
        <v>440.6</v>
      </c>
    </row>
    <row r="18" spans="1:34">
      <c r="A18" s="51">
        <v>10</v>
      </c>
      <c r="B18" s="52" t="s">
        <v>36</v>
      </c>
      <c r="C18" s="35">
        <v>330.4</v>
      </c>
      <c r="D18" s="35">
        <v>927</v>
      </c>
      <c r="E18" s="37">
        <v>349</v>
      </c>
      <c r="F18" s="38">
        <v>881.9</v>
      </c>
      <c r="G18" s="37">
        <v>294.10000000000002</v>
      </c>
      <c r="H18" s="38">
        <v>969.4</v>
      </c>
      <c r="I18" s="35">
        <v>427.5</v>
      </c>
      <c r="J18" s="35">
        <v>366.2</v>
      </c>
      <c r="K18" s="39">
        <v>327.10000000000002</v>
      </c>
      <c r="L18" s="48">
        <v>1323.5</v>
      </c>
      <c r="M18" s="41">
        <v>293.2</v>
      </c>
      <c r="N18" s="41">
        <v>565.70000000000005</v>
      </c>
      <c r="O18" s="37">
        <v>313.7</v>
      </c>
      <c r="P18" s="38">
        <v>988.3</v>
      </c>
      <c r="Q18" s="35">
        <v>428</v>
      </c>
      <c r="R18" s="49">
        <v>1249.9000000000001</v>
      </c>
      <c r="S18" s="50">
        <v>305.39999999999998</v>
      </c>
      <c r="T18" s="35">
        <v>859.2</v>
      </c>
      <c r="U18" s="39">
        <v>350.5</v>
      </c>
      <c r="V18" s="48">
        <v>1447.6</v>
      </c>
      <c r="W18" s="35">
        <v>255.3</v>
      </c>
      <c r="X18" s="35">
        <v>282.89999999999998</v>
      </c>
      <c r="Y18" s="39">
        <v>255.3</v>
      </c>
      <c r="Z18" s="48">
        <v>399</v>
      </c>
      <c r="AA18" s="35">
        <v>317.89999999999998</v>
      </c>
      <c r="AB18" s="35">
        <v>1090.4000000000001</v>
      </c>
      <c r="AC18" s="37">
        <v>306.60000000000002</v>
      </c>
      <c r="AD18" s="38">
        <v>734.8</v>
      </c>
      <c r="AE18" s="39">
        <v>301</v>
      </c>
      <c r="AF18" s="48">
        <v>1041.0999999999999</v>
      </c>
      <c r="AG18" s="41">
        <v>249.9</v>
      </c>
      <c r="AH18" s="45">
        <v>372.3</v>
      </c>
    </row>
    <row r="19" spans="1:34" ht="21" customHeight="1">
      <c r="A19" s="46">
        <v>11</v>
      </c>
      <c r="B19" s="47" t="s">
        <v>37</v>
      </c>
      <c r="C19" s="35">
        <v>350</v>
      </c>
      <c r="D19" s="35">
        <v>1231.5999999999999</v>
      </c>
      <c r="E19" s="37">
        <v>355.8</v>
      </c>
      <c r="F19" s="38">
        <v>940.9</v>
      </c>
      <c r="G19" s="37">
        <v>332.8</v>
      </c>
      <c r="H19" s="38">
        <v>1024.7</v>
      </c>
      <c r="I19" s="35">
        <v>409.1</v>
      </c>
      <c r="J19" s="35">
        <v>772.8</v>
      </c>
      <c r="K19" s="39">
        <v>353.6</v>
      </c>
      <c r="L19" s="48">
        <v>1231.5999999999999</v>
      </c>
      <c r="M19" s="41">
        <v>303.2</v>
      </c>
      <c r="N19" s="41">
        <v>605.5</v>
      </c>
      <c r="O19" s="37">
        <v>328.2</v>
      </c>
      <c r="P19" s="38">
        <v>996.4</v>
      </c>
      <c r="Q19" s="35">
        <v>352.6</v>
      </c>
      <c r="R19" s="49">
        <v>1270.2</v>
      </c>
      <c r="S19" s="50">
        <v>329.8</v>
      </c>
      <c r="T19" s="35">
        <v>827.2</v>
      </c>
      <c r="U19" s="39">
        <v>399.6</v>
      </c>
      <c r="V19" s="48">
        <v>1913.1</v>
      </c>
      <c r="W19" s="35">
        <v>263.3</v>
      </c>
      <c r="X19" s="35">
        <v>323.10000000000002</v>
      </c>
      <c r="Y19" s="39">
        <v>281.7</v>
      </c>
      <c r="Z19" s="48">
        <v>384.1</v>
      </c>
      <c r="AA19" s="35">
        <v>354.6</v>
      </c>
      <c r="AB19" s="35">
        <v>1057.3</v>
      </c>
      <c r="AC19" s="37">
        <v>304.5</v>
      </c>
      <c r="AD19" s="38">
        <v>579.4</v>
      </c>
      <c r="AE19" s="39">
        <v>338.4</v>
      </c>
      <c r="AF19" s="48">
        <v>1267.9000000000001</v>
      </c>
      <c r="AG19" s="41">
        <v>277.60000000000002</v>
      </c>
      <c r="AH19" s="45">
        <v>473.5</v>
      </c>
    </row>
    <row r="20" spans="1:34">
      <c r="A20" s="46">
        <v>12</v>
      </c>
      <c r="B20" s="47" t="s">
        <v>38</v>
      </c>
      <c r="C20" s="35">
        <v>330.1</v>
      </c>
      <c r="D20" s="35">
        <v>1100.2</v>
      </c>
      <c r="E20" s="37">
        <v>351.7</v>
      </c>
      <c r="F20" s="38">
        <v>948</v>
      </c>
      <c r="G20" s="37">
        <v>320.2</v>
      </c>
      <c r="H20" s="38">
        <v>945.9</v>
      </c>
      <c r="I20" s="35">
        <v>418.2</v>
      </c>
      <c r="J20" s="35">
        <v>1206.5</v>
      </c>
      <c r="K20" s="39">
        <v>390.1</v>
      </c>
      <c r="L20" s="48">
        <v>1573.7</v>
      </c>
      <c r="M20" s="41">
        <v>317.10000000000002</v>
      </c>
      <c r="N20" s="41">
        <v>721.3</v>
      </c>
      <c r="O20" s="37">
        <v>313.8</v>
      </c>
      <c r="P20" s="38">
        <v>827.7</v>
      </c>
      <c r="Q20" s="35">
        <v>420</v>
      </c>
      <c r="R20" s="49">
        <v>1077.7</v>
      </c>
      <c r="S20" s="50">
        <v>337.1</v>
      </c>
      <c r="T20" s="35">
        <v>1044.4000000000001</v>
      </c>
      <c r="U20" s="39">
        <v>375.8</v>
      </c>
      <c r="V20" s="48">
        <v>1494.8</v>
      </c>
      <c r="W20" s="35">
        <v>272.5</v>
      </c>
      <c r="X20" s="35">
        <v>328.5</v>
      </c>
      <c r="Y20" s="39">
        <v>284.7</v>
      </c>
      <c r="Z20" s="48">
        <v>479.4</v>
      </c>
      <c r="AA20" s="35">
        <v>385.6</v>
      </c>
      <c r="AB20" s="35">
        <v>1267.3</v>
      </c>
      <c r="AC20" s="37">
        <v>303.89999999999998</v>
      </c>
      <c r="AD20" s="38">
        <v>665.5</v>
      </c>
      <c r="AE20" s="39">
        <v>311.5</v>
      </c>
      <c r="AF20" s="48">
        <v>922.4</v>
      </c>
      <c r="AG20" s="41">
        <v>286.7</v>
      </c>
      <c r="AH20" s="45">
        <v>584.1</v>
      </c>
    </row>
    <row r="21" spans="1:34">
      <c r="A21" s="46">
        <v>13</v>
      </c>
      <c r="B21" s="47" t="s">
        <v>39</v>
      </c>
      <c r="C21" s="35">
        <v>631.29999999999995</v>
      </c>
      <c r="D21" s="35">
        <v>3331.2</v>
      </c>
      <c r="E21" s="37">
        <v>389.2</v>
      </c>
      <c r="F21" s="38">
        <v>1352.2</v>
      </c>
      <c r="G21" s="37">
        <v>394.3</v>
      </c>
      <c r="H21" s="38">
        <v>1513.4</v>
      </c>
      <c r="I21" s="35">
        <v>512.6</v>
      </c>
      <c r="J21" s="35">
        <v>1541</v>
      </c>
      <c r="K21" s="39">
        <v>406.2</v>
      </c>
      <c r="L21" s="48">
        <v>1273.5</v>
      </c>
      <c r="M21" s="41">
        <v>377.1</v>
      </c>
      <c r="N21" s="41">
        <v>967.9</v>
      </c>
      <c r="O21" s="37">
        <v>433.5</v>
      </c>
      <c r="P21" s="38">
        <v>1470.2</v>
      </c>
      <c r="Q21" s="35">
        <v>494</v>
      </c>
      <c r="R21" s="49">
        <v>1832.8</v>
      </c>
      <c r="S21" s="50">
        <v>449.3</v>
      </c>
      <c r="T21" s="35">
        <v>1647.1</v>
      </c>
      <c r="U21" s="39">
        <v>443.8</v>
      </c>
      <c r="V21" s="48">
        <v>1311.4</v>
      </c>
      <c r="W21" s="35">
        <v>316.3</v>
      </c>
      <c r="X21" s="35">
        <v>522.1</v>
      </c>
      <c r="Y21" s="39">
        <v>335.1</v>
      </c>
      <c r="Z21" s="48">
        <v>630.70000000000005</v>
      </c>
      <c r="AA21" s="35">
        <v>430</v>
      </c>
      <c r="AB21" s="35">
        <v>1517.3</v>
      </c>
      <c r="AC21" s="37">
        <v>360</v>
      </c>
      <c r="AD21" s="38">
        <v>767.1</v>
      </c>
      <c r="AE21" s="39">
        <v>384.8</v>
      </c>
      <c r="AF21" s="48">
        <v>1508.7</v>
      </c>
      <c r="AG21" s="41">
        <v>348.4</v>
      </c>
      <c r="AH21" s="45">
        <v>672</v>
      </c>
    </row>
    <row r="22" spans="1:34">
      <c r="A22" s="46">
        <v>14</v>
      </c>
      <c r="B22" s="47" t="s">
        <v>40</v>
      </c>
      <c r="C22" s="35">
        <v>353.1</v>
      </c>
      <c r="D22" s="35">
        <v>1321</v>
      </c>
      <c r="E22" s="37">
        <v>364.6</v>
      </c>
      <c r="F22" s="38">
        <v>921.1</v>
      </c>
      <c r="G22" s="37">
        <v>361.3</v>
      </c>
      <c r="H22" s="38">
        <v>1299.5</v>
      </c>
      <c r="I22" s="35">
        <v>452.2</v>
      </c>
      <c r="J22" s="35">
        <v>737.6</v>
      </c>
      <c r="K22" s="39">
        <v>449.2</v>
      </c>
      <c r="L22" s="48">
        <v>2085.5</v>
      </c>
      <c r="M22" s="41">
        <v>343.7</v>
      </c>
      <c r="N22" s="41">
        <v>1165.8</v>
      </c>
      <c r="O22" s="37">
        <v>345.1</v>
      </c>
      <c r="P22" s="38">
        <v>1161</v>
      </c>
      <c r="Q22" s="35">
        <v>379.3</v>
      </c>
      <c r="R22" s="49">
        <v>1340.7</v>
      </c>
      <c r="S22" s="50">
        <v>367.6</v>
      </c>
      <c r="T22" s="35">
        <v>1074.5999999999999</v>
      </c>
      <c r="U22" s="39">
        <v>459.9</v>
      </c>
      <c r="V22" s="48">
        <v>1845.2</v>
      </c>
      <c r="W22" s="35">
        <v>285.39999999999998</v>
      </c>
      <c r="X22" s="35">
        <v>380.8</v>
      </c>
      <c r="Y22" s="39">
        <v>292.60000000000002</v>
      </c>
      <c r="Z22" s="48">
        <v>352.4</v>
      </c>
      <c r="AA22" s="35">
        <v>405.2</v>
      </c>
      <c r="AB22" s="35">
        <v>1303.8</v>
      </c>
      <c r="AC22" s="37">
        <v>338.6</v>
      </c>
      <c r="AD22" s="38">
        <v>721.6</v>
      </c>
      <c r="AE22" s="39">
        <v>335.3</v>
      </c>
      <c r="AF22" s="48">
        <v>1401.1</v>
      </c>
      <c r="AG22" s="41">
        <v>279.7</v>
      </c>
      <c r="AH22" s="45">
        <v>471.7</v>
      </c>
    </row>
    <row r="23" spans="1:34">
      <c r="A23" s="51">
        <v>15</v>
      </c>
      <c r="B23" s="52" t="s">
        <v>41</v>
      </c>
      <c r="C23" s="35">
        <v>417</v>
      </c>
      <c r="D23" s="35">
        <v>2111</v>
      </c>
      <c r="E23" s="37">
        <v>304.39999999999998</v>
      </c>
      <c r="F23" s="38">
        <v>850.4</v>
      </c>
      <c r="G23" s="37">
        <v>279.8</v>
      </c>
      <c r="H23" s="38">
        <v>839.5</v>
      </c>
      <c r="I23" s="35">
        <v>457.4</v>
      </c>
      <c r="J23" s="35">
        <v>1461.7</v>
      </c>
      <c r="K23" s="39">
        <v>316</v>
      </c>
      <c r="L23" s="48">
        <v>947.8</v>
      </c>
      <c r="M23" s="41">
        <v>287.3</v>
      </c>
      <c r="N23" s="41">
        <v>705.4</v>
      </c>
      <c r="O23" s="37">
        <v>270.39999999999998</v>
      </c>
      <c r="P23" s="38">
        <v>628.79999999999995</v>
      </c>
      <c r="Q23" s="35">
        <v>354.8</v>
      </c>
      <c r="R23" s="49">
        <v>1326.1</v>
      </c>
      <c r="S23" s="50">
        <v>281.5</v>
      </c>
      <c r="T23" s="35">
        <v>790.8</v>
      </c>
      <c r="U23" s="39">
        <v>338.8</v>
      </c>
      <c r="V23" s="48">
        <v>1189.3</v>
      </c>
      <c r="W23" s="35">
        <v>227.7</v>
      </c>
      <c r="X23" s="35">
        <v>298.7</v>
      </c>
      <c r="Y23" s="39">
        <v>238.4</v>
      </c>
      <c r="Z23" s="48">
        <v>392.7</v>
      </c>
      <c r="AA23" s="35">
        <v>332.6</v>
      </c>
      <c r="AB23" s="35">
        <v>1056.3</v>
      </c>
      <c r="AC23" s="37">
        <v>296.2</v>
      </c>
      <c r="AD23" s="38">
        <v>645.6</v>
      </c>
      <c r="AE23" s="39">
        <v>296.89999999999998</v>
      </c>
      <c r="AF23" s="48">
        <v>893</v>
      </c>
      <c r="AG23" s="41">
        <v>257.39999999999998</v>
      </c>
      <c r="AH23" s="45">
        <v>490</v>
      </c>
    </row>
    <row r="24" spans="1:34" ht="21" customHeight="1">
      <c r="A24" s="46">
        <v>16</v>
      </c>
      <c r="B24" s="47" t="s">
        <v>42</v>
      </c>
      <c r="C24" s="35">
        <v>311.3</v>
      </c>
      <c r="D24" s="35">
        <v>640.20000000000005</v>
      </c>
      <c r="E24" s="37">
        <v>323.60000000000002</v>
      </c>
      <c r="F24" s="38">
        <v>1045.2</v>
      </c>
      <c r="G24" s="37">
        <v>290.39999999999998</v>
      </c>
      <c r="H24" s="38">
        <v>867</v>
      </c>
      <c r="I24" s="35">
        <v>417.2</v>
      </c>
      <c r="J24" s="35">
        <v>1290.4000000000001</v>
      </c>
      <c r="K24" s="39">
        <v>312</v>
      </c>
      <c r="L24" s="48">
        <v>1104.5999999999999</v>
      </c>
      <c r="M24" s="41">
        <v>274.60000000000002</v>
      </c>
      <c r="N24" s="41">
        <v>546.9</v>
      </c>
      <c r="O24" s="37">
        <v>301.2</v>
      </c>
      <c r="P24" s="38">
        <v>815.4</v>
      </c>
      <c r="Q24" s="35">
        <v>354.5</v>
      </c>
      <c r="R24" s="49">
        <v>1087.2</v>
      </c>
      <c r="S24" s="50">
        <v>276.39999999999998</v>
      </c>
      <c r="T24" s="35">
        <v>739.9</v>
      </c>
      <c r="U24" s="39">
        <v>318.3</v>
      </c>
      <c r="V24" s="48">
        <v>987.4</v>
      </c>
      <c r="W24" s="35">
        <v>250.5</v>
      </c>
      <c r="X24" s="35">
        <v>327.8</v>
      </c>
      <c r="Y24" s="39">
        <v>262.7</v>
      </c>
      <c r="Z24" s="48">
        <v>479.9</v>
      </c>
      <c r="AA24" s="35">
        <v>355.7</v>
      </c>
      <c r="AB24" s="35">
        <v>926</v>
      </c>
      <c r="AC24" s="37">
        <v>284.89999999999998</v>
      </c>
      <c r="AD24" s="38">
        <v>682.7</v>
      </c>
      <c r="AE24" s="39">
        <v>301</v>
      </c>
      <c r="AF24" s="48">
        <v>1002.5</v>
      </c>
      <c r="AG24" s="41">
        <v>274.3</v>
      </c>
      <c r="AH24" s="45">
        <v>678</v>
      </c>
    </row>
    <row r="25" spans="1:34">
      <c r="A25" s="46">
        <v>17</v>
      </c>
      <c r="B25" s="47" t="s">
        <v>43</v>
      </c>
      <c r="C25" s="35">
        <v>356.8</v>
      </c>
      <c r="D25" s="35">
        <v>1005.7</v>
      </c>
      <c r="E25" s="37">
        <v>346.4</v>
      </c>
      <c r="F25" s="38">
        <v>1169.4000000000001</v>
      </c>
      <c r="G25" s="37">
        <v>295.10000000000002</v>
      </c>
      <c r="H25" s="38">
        <v>952.8</v>
      </c>
      <c r="I25" s="35">
        <v>420.2</v>
      </c>
      <c r="J25" s="35">
        <v>1241.2</v>
      </c>
      <c r="K25" s="39">
        <v>458.7</v>
      </c>
      <c r="L25" s="48">
        <v>1232</v>
      </c>
      <c r="M25" s="41">
        <v>268.2</v>
      </c>
      <c r="N25" s="41">
        <v>563.1</v>
      </c>
      <c r="O25" s="37">
        <v>300.60000000000002</v>
      </c>
      <c r="P25" s="38">
        <v>839.8</v>
      </c>
      <c r="Q25" s="35">
        <v>350.1</v>
      </c>
      <c r="R25" s="49">
        <v>1136.5999999999999</v>
      </c>
      <c r="S25" s="50">
        <v>315.3</v>
      </c>
      <c r="T25" s="35">
        <v>988.2</v>
      </c>
      <c r="U25" s="39">
        <v>305.10000000000002</v>
      </c>
      <c r="V25" s="48">
        <v>1097.2</v>
      </c>
      <c r="W25" s="35">
        <v>248.9</v>
      </c>
      <c r="X25" s="35">
        <v>280.5</v>
      </c>
      <c r="Y25" s="39">
        <v>278.10000000000002</v>
      </c>
      <c r="Z25" s="48">
        <v>640.70000000000005</v>
      </c>
      <c r="AA25" s="35">
        <v>355.4</v>
      </c>
      <c r="AB25" s="35">
        <v>1170.4000000000001</v>
      </c>
      <c r="AC25" s="37">
        <v>287.10000000000002</v>
      </c>
      <c r="AD25" s="38">
        <v>694.8</v>
      </c>
      <c r="AE25" s="39">
        <v>298.89999999999998</v>
      </c>
      <c r="AF25" s="48">
        <v>1079.5</v>
      </c>
      <c r="AG25" s="41">
        <v>249.5</v>
      </c>
      <c r="AH25" s="45">
        <v>390.9</v>
      </c>
    </row>
    <row r="26" spans="1:34">
      <c r="A26" s="46">
        <v>18</v>
      </c>
      <c r="B26" s="47" t="s">
        <v>44</v>
      </c>
      <c r="C26" s="35">
        <v>384.7</v>
      </c>
      <c r="D26" s="35">
        <v>807.4</v>
      </c>
      <c r="E26" s="37">
        <v>302.89999999999998</v>
      </c>
      <c r="F26" s="38">
        <v>837</v>
      </c>
      <c r="G26" s="37">
        <v>289.10000000000002</v>
      </c>
      <c r="H26" s="38">
        <v>957</v>
      </c>
      <c r="I26" s="35">
        <v>377.8</v>
      </c>
      <c r="J26" s="35">
        <v>1477.6</v>
      </c>
      <c r="K26" s="39">
        <v>334.9</v>
      </c>
      <c r="L26" s="48">
        <v>1033.5</v>
      </c>
      <c r="M26" s="41">
        <v>287.39999999999998</v>
      </c>
      <c r="N26" s="41">
        <v>449</v>
      </c>
      <c r="O26" s="37">
        <v>271.2</v>
      </c>
      <c r="P26" s="38">
        <v>759.9</v>
      </c>
      <c r="Q26" s="35">
        <v>360</v>
      </c>
      <c r="R26" s="49">
        <v>1061.3</v>
      </c>
      <c r="S26" s="50">
        <v>270.60000000000002</v>
      </c>
      <c r="T26" s="35">
        <v>664.8</v>
      </c>
      <c r="U26" s="39">
        <v>341</v>
      </c>
      <c r="V26" s="48">
        <v>1015.2</v>
      </c>
      <c r="W26" s="35">
        <v>244.3</v>
      </c>
      <c r="X26" s="35">
        <v>369.3</v>
      </c>
      <c r="Y26" s="39">
        <v>267</v>
      </c>
      <c r="Z26" s="48">
        <v>353.2</v>
      </c>
      <c r="AA26" s="35">
        <v>347.5</v>
      </c>
      <c r="AB26" s="35">
        <v>1289.2</v>
      </c>
      <c r="AC26" s="37">
        <v>292</v>
      </c>
      <c r="AD26" s="38">
        <v>795.8</v>
      </c>
      <c r="AE26" s="39">
        <v>297.89999999999998</v>
      </c>
      <c r="AF26" s="48">
        <v>883.7</v>
      </c>
      <c r="AG26" s="41">
        <v>256.3</v>
      </c>
      <c r="AH26" s="45">
        <v>692.9</v>
      </c>
    </row>
    <row r="27" spans="1:34">
      <c r="A27" s="46">
        <v>19</v>
      </c>
      <c r="B27" s="47" t="s">
        <v>45</v>
      </c>
      <c r="C27" s="35">
        <v>293.10000000000002</v>
      </c>
      <c r="D27" s="35">
        <v>587.6</v>
      </c>
      <c r="E27" s="37">
        <v>339.1</v>
      </c>
      <c r="F27" s="38">
        <v>905.7</v>
      </c>
      <c r="G27" s="37">
        <v>307.39999999999998</v>
      </c>
      <c r="H27" s="38">
        <v>1207.3</v>
      </c>
      <c r="I27" s="35">
        <v>427.7</v>
      </c>
      <c r="J27" s="35">
        <v>429</v>
      </c>
      <c r="K27" s="39">
        <v>340</v>
      </c>
      <c r="L27" s="48">
        <v>1355.7</v>
      </c>
      <c r="M27" s="41">
        <v>328.2</v>
      </c>
      <c r="N27" s="41">
        <v>489.5</v>
      </c>
      <c r="O27" s="37">
        <v>313.60000000000002</v>
      </c>
      <c r="P27" s="38">
        <v>527.20000000000005</v>
      </c>
      <c r="Q27" s="35">
        <v>365</v>
      </c>
      <c r="R27" s="49">
        <v>1001.7</v>
      </c>
      <c r="S27" s="50">
        <v>294.39999999999998</v>
      </c>
      <c r="T27" s="35">
        <v>851.8</v>
      </c>
      <c r="U27" s="39">
        <v>332.4</v>
      </c>
      <c r="V27" s="48">
        <v>1282.5999999999999</v>
      </c>
      <c r="W27" s="35">
        <v>243.3</v>
      </c>
      <c r="X27" s="35">
        <v>333.4</v>
      </c>
      <c r="Y27" s="39">
        <v>264.89999999999998</v>
      </c>
      <c r="Z27" s="48">
        <v>496.9</v>
      </c>
      <c r="AA27" s="35">
        <v>352.2</v>
      </c>
      <c r="AB27" s="35">
        <v>1098.8</v>
      </c>
      <c r="AC27" s="37">
        <v>288.89999999999998</v>
      </c>
      <c r="AD27" s="38">
        <v>614.5</v>
      </c>
      <c r="AE27" s="39">
        <v>308.3</v>
      </c>
      <c r="AF27" s="48">
        <v>844.1</v>
      </c>
      <c r="AG27" s="41">
        <v>236.2</v>
      </c>
      <c r="AH27" s="45">
        <v>286.10000000000002</v>
      </c>
    </row>
    <row r="28" spans="1:34">
      <c r="A28" s="51">
        <v>20</v>
      </c>
      <c r="B28" s="52" t="s">
        <v>46</v>
      </c>
      <c r="C28" s="35">
        <v>300.5</v>
      </c>
      <c r="D28" s="35">
        <v>515</v>
      </c>
      <c r="E28" s="37">
        <v>333.1</v>
      </c>
      <c r="F28" s="38">
        <v>833.5</v>
      </c>
      <c r="G28" s="37">
        <v>295.89999999999998</v>
      </c>
      <c r="H28" s="38">
        <v>1015.5</v>
      </c>
      <c r="I28" s="35">
        <v>421.5</v>
      </c>
      <c r="J28" s="35">
        <v>1154.2</v>
      </c>
      <c r="K28" s="39">
        <v>338.9</v>
      </c>
      <c r="L28" s="48">
        <v>1291.2</v>
      </c>
      <c r="M28" s="41">
        <v>287.3</v>
      </c>
      <c r="N28" s="41">
        <v>631.29999999999995</v>
      </c>
      <c r="O28" s="37">
        <v>289.2</v>
      </c>
      <c r="P28" s="38">
        <v>797.3</v>
      </c>
      <c r="Q28" s="35">
        <v>357.5</v>
      </c>
      <c r="R28" s="49">
        <v>1311.7</v>
      </c>
      <c r="S28" s="50">
        <v>303.39999999999998</v>
      </c>
      <c r="T28" s="35">
        <v>790.3</v>
      </c>
      <c r="U28" s="39">
        <v>313.3</v>
      </c>
      <c r="V28" s="48">
        <v>1427.8</v>
      </c>
      <c r="W28" s="35">
        <v>258.7</v>
      </c>
      <c r="X28" s="35">
        <v>393.4</v>
      </c>
      <c r="Y28" s="39">
        <v>269.5</v>
      </c>
      <c r="Z28" s="48">
        <v>373.9</v>
      </c>
      <c r="AA28" s="35">
        <v>336.7</v>
      </c>
      <c r="AB28" s="35">
        <v>876.5</v>
      </c>
      <c r="AC28" s="37">
        <v>303.7</v>
      </c>
      <c r="AD28" s="38">
        <v>721.2</v>
      </c>
      <c r="AE28" s="39">
        <v>303.5</v>
      </c>
      <c r="AF28" s="48">
        <v>977.9</v>
      </c>
      <c r="AG28" s="41">
        <v>243.1</v>
      </c>
      <c r="AH28" s="45">
        <v>394.3</v>
      </c>
    </row>
    <row r="29" spans="1:34" ht="21" customHeight="1">
      <c r="A29" s="46">
        <v>21</v>
      </c>
      <c r="B29" s="47" t="s">
        <v>47</v>
      </c>
      <c r="C29" s="35">
        <v>285.89999999999998</v>
      </c>
      <c r="D29" s="35">
        <v>327.10000000000002</v>
      </c>
      <c r="E29" s="37">
        <v>331.1</v>
      </c>
      <c r="F29" s="38">
        <v>1091</v>
      </c>
      <c r="G29" s="37">
        <v>289.89999999999998</v>
      </c>
      <c r="H29" s="38">
        <v>829</v>
      </c>
      <c r="I29" s="35">
        <v>424.7</v>
      </c>
      <c r="J29" s="35">
        <v>1469.2</v>
      </c>
      <c r="K29" s="39">
        <v>310</v>
      </c>
      <c r="L29" s="48">
        <v>1111.2</v>
      </c>
      <c r="M29" s="41">
        <v>286.39999999999998</v>
      </c>
      <c r="N29" s="41">
        <v>506.1</v>
      </c>
      <c r="O29" s="37">
        <v>277.60000000000002</v>
      </c>
      <c r="P29" s="38">
        <v>705.1</v>
      </c>
      <c r="Q29" s="35">
        <v>349.5</v>
      </c>
      <c r="R29" s="49">
        <v>1207</v>
      </c>
      <c r="S29" s="50">
        <v>304.60000000000002</v>
      </c>
      <c r="T29" s="35">
        <v>842</v>
      </c>
      <c r="U29" s="39">
        <v>341.3</v>
      </c>
      <c r="V29" s="48">
        <v>1110.8</v>
      </c>
      <c r="W29" s="35">
        <v>249.2</v>
      </c>
      <c r="X29" s="35">
        <v>196.5</v>
      </c>
      <c r="Y29" s="39">
        <v>279.10000000000002</v>
      </c>
      <c r="Z29" s="48">
        <v>321.3</v>
      </c>
      <c r="AA29" s="35">
        <v>356.9</v>
      </c>
      <c r="AB29" s="35">
        <v>1143.5999999999999</v>
      </c>
      <c r="AC29" s="37">
        <v>276.8</v>
      </c>
      <c r="AD29" s="38">
        <v>654.9</v>
      </c>
      <c r="AE29" s="39">
        <v>309.10000000000002</v>
      </c>
      <c r="AF29" s="48">
        <v>1183.7</v>
      </c>
      <c r="AG29" s="41">
        <v>251.8</v>
      </c>
      <c r="AH29" s="45">
        <v>344.6</v>
      </c>
    </row>
    <row r="30" spans="1:34">
      <c r="A30" s="46">
        <v>22</v>
      </c>
      <c r="B30" s="47" t="s">
        <v>48</v>
      </c>
      <c r="C30" s="35">
        <v>312.10000000000002</v>
      </c>
      <c r="D30" s="35">
        <v>826.3</v>
      </c>
      <c r="E30" s="37">
        <v>336</v>
      </c>
      <c r="F30" s="38">
        <v>1091.5</v>
      </c>
      <c r="G30" s="37">
        <v>321.7</v>
      </c>
      <c r="H30" s="38">
        <v>1196.3</v>
      </c>
      <c r="I30" s="35">
        <v>392.5</v>
      </c>
      <c r="J30" s="35">
        <v>1634.5</v>
      </c>
      <c r="K30" s="39">
        <v>336.8</v>
      </c>
      <c r="L30" s="48">
        <v>1217.7</v>
      </c>
      <c r="M30" s="41">
        <v>278.5</v>
      </c>
      <c r="N30" s="41">
        <v>578.20000000000005</v>
      </c>
      <c r="O30" s="37">
        <v>301</v>
      </c>
      <c r="P30" s="38">
        <v>934.8</v>
      </c>
      <c r="Q30" s="35">
        <v>368.7</v>
      </c>
      <c r="R30" s="49">
        <v>1224.5</v>
      </c>
      <c r="S30" s="50">
        <v>294.7</v>
      </c>
      <c r="T30" s="35">
        <v>698.5</v>
      </c>
      <c r="U30" s="39">
        <v>508</v>
      </c>
      <c r="V30" s="48">
        <v>1188.7</v>
      </c>
      <c r="W30" s="35">
        <v>249.4</v>
      </c>
      <c r="X30" s="35">
        <v>279.2</v>
      </c>
      <c r="Y30" s="39">
        <v>280.3</v>
      </c>
      <c r="Z30" s="48">
        <v>525.29999999999995</v>
      </c>
      <c r="AA30" s="35">
        <v>340.1</v>
      </c>
      <c r="AB30" s="35">
        <v>1050.2</v>
      </c>
      <c r="AC30" s="37">
        <v>289.5</v>
      </c>
      <c r="AD30" s="38">
        <v>776.5</v>
      </c>
      <c r="AE30" s="39">
        <v>304.7</v>
      </c>
      <c r="AF30" s="48">
        <v>1156.5999999999999</v>
      </c>
      <c r="AG30" s="41">
        <v>252.6</v>
      </c>
      <c r="AH30" s="45">
        <v>360.4</v>
      </c>
    </row>
    <row r="31" spans="1:34">
      <c r="A31" s="46">
        <v>23</v>
      </c>
      <c r="B31" s="47" t="s">
        <v>49</v>
      </c>
      <c r="C31" s="35">
        <v>331.4</v>
      </c>
      <c r="D31" s="35">
        <v>717.8</v>
      </c>
      <c r="E31" s="37">
        <v>363.3</v>
      </c>
      <c r="F31" s="38">
        <v>1121.5999999999999</v>
      </c>
      <c r="G31" s="37">
        <v>337</v>
      </c>
      <c r="H31" s="38">
        <v>1263</v>
      </c>
      <c r="I31" s="35">
        <v>481.8</v>
      </c>
      <c r="J31" s="35">
        <v>2025</v>
      </c>
      <c r="K31" s="39">
        <v>361</v>
      </c>
      <c r="L31" s="48">
        <v>1305.5</v>
      </c>
      <c r="M31" s="41">
        <v>320.5</v>
      </c>
      <c r="N31" s="41">
        <v>760.5</v>
      </c>
      <c r="O31" s="37">
        <v>345.8</v>
      </c>
      <c r="P31" s="38">
        <v>1202.9000000000001</v>
      </c>
      <c r="Q31" s="35">
        <v>401.2</v>
      </c>
      <c r="R31" s="49">
        <v>1413.2</v>
      </c>
      <c r="S31" s="50">
        <v>351.5</v>
      </c>
      <c r="T31" s="35">
        <v>1260.0999999999999</v>
      </c>
      <c r="U31" s="39">
        <v>367.9</v>
      </c>
      <c r="V31" s="48">
        <v>1441.1</v>
      </c>
      <c r="W31" s="35">
        <v>264.5</v>
      </c>
      <c r="X31" s="35">
        <v>379.1</v>
      </c>
      <c r="Y31" s="39">
        <v>296.39999999999998</v>
      </c>
      <c r="Z31" s="48">
        <v>534</v>
      </c>
      <c r="AA31" s="35">
        <v>386</v>
      </c>
      <c r="AB31" s="35">
        <v>1450.8</v>
      </c>
      <c r="AC31" s="37">
        <v>309.5</v>
      </c>
      <c r="AD31" s="38">
        <v>761.1</v>
      </c>
      <c r="AE31" s="39">
        <v>313.2</v>
      </c>
      <c r="AF31" s="48">
        <v>1027.8</v>
      </c>
      <c r="AG31" s="41">
        <v>267.39999999999998</v>
      </c>
      <c r="AH31" s="45">
        <v>458</v>
      </c>
    </row>
    <row r="32" spans="1:34">
      <c r="A32" s="46">
        <v>24</v>
      </c>
      <c r="B32" s="47" t="s">
        <v>50</v>
      </c>
      <c r="C32" s="35">
        <v>336.7</v>
      </c>
      <c r="D32" s="35">
        <v>726</v>
      </c>
      <c r="E32" s="37">
        <v>333.4</v>
      </c>
      <c r="F32" s="38">
        <v>656.3</v>
      </c>
      <c r="G32" s="37">
        <v>330.5</v>
      </c>
      <c r="H32" s="38">
        <v>1157.4000000000001</v>
      </c>
      <c r="I32" s="35">
        <v>399.5</v>
      </c>
      <c r="J32" s="35">
        <v>1540.8</v>
      </c>
      <c r="K32" s="39">
        <v>329.7</v>
      </c>
      <c r="L32" s="48">
        <v>881.9</v>
      </c>
      <c r="M32" s="41">
        <v>273.89999999999998</v>
      </c>
      <c r="N32" s="41">
        <v>589.5</v>
      </c>
      <c r="O32" s="37">
        <v>291.2</v>
      </c>
      <c r="P32" s="38">
        <v>755.7</v>
      </c>
      <c r="Q32" s="35">
        <v>365.8</v>
      </c>
      <c r="R32" s="49">
        <v>1310.8</v>
      </c>
      <c r="S32" s="50">
        <v>290.8</v>
      </c>
      <c r="T32" s="35">
        <v>601.29999999999995</v>
      </c>
      <c r="U32" s="39">
        <v>343.2</v>
      </c>
      <c r="V32" s="48">
        <v>1359.5</v>
      </c>
      <c r="W32" s="35">
        <v>253.8</v>
      </c>
      <c r="X32" s="35">
        <v>408</v>
      </c>
      <c r="Y32" s="39">
        <v>280.60000000000002</v>
      </c>
      <c r="Z32" s="48">
        <v>497.4</v>
      </c>
      <c r="AA32" s="35">
        <v>350.6</v>
      </c>
      <c r="AB32" s="35">
        <v>1194.7</v>
      </c>
      <c r="AC32" s="37">
        <v>302.89999999999998</v>
      </c>
      <c r="AD32" s="38">
        <v>711.8</v>
      </c>
      <c r="AE32" s="39">
        <v>289.89999999999998</v>
      </c>
      <c r="AF32" s="48">
        <v>991.5</v>
      </c>
      <c r="AG32" s="41">
        <v>256.10000000000002</v>
      </c>
      <c r="AH32" s="45">
        <v>386.2</v>
      </c>
    </row>
    <row r="33" spans="1:34">
      <c r="A33" s="51">
        <v>25</v>
      </c>
      <c r="B33" s="52" t="s">
        <v>51</v>
      </c>
      <c r="C33" s="35">
        <v>275.8</v>
      </c>
      <c r="D33" s="35">
        <v>298.5</v>
      </c>
      <c r="E33" s="37">
        <v>365.1</v>
      </c>
      <c r="F33" s="38">
        <v>1034.5</v>
      </c>
      <c r="G33" s="37">
        <v>321.60000000000002</v>
      </c>
      <c r="H33" s="38">
        <v>1137.7</v>
      </c>
      <c r="I33" s="35">
        <v>392.8</v>
      </c>
      <c r="J33" s="35">
        <v>1597</v>
      </c>
      <c r="K33" s="39">
        <v>309.8</v>
      </c>
      <c r="L33" s="48">
        <v>550.4</v>
      </c>
      <c r="M33" s="41">
        <v>278.3</v>
      </c>
      <c r="N33" s="41">
        <v>541</v>
      </c>
      <c r="O33" s="37">
        <v>299.10000000000002</v>
      </c>
      <c r="P33" s="38">
        <v>723.2</v>
      </c>
      <c r="Q33" s="35">
        <v>345.8</v>
      </c>
      <c r="R33" s="49">
        <v>1401.8</v>
      </c>
      <c r="S33" s="50">
        <v>312.60000000000002</v>
      </c>
      <c r="T33" s="35">
        <v>850.3</v>
      </c>
      <c r="U33" s="39">
        <v>363.3</v>
      </c>
      <c r="V33" s="48">
        <v>1266.5</v>
      </c>
      <c r="W33" s="35">
        <v>265.7</v>
      </c>
      <c r="X33" s="35">
        <v>392.3</v>
      </c>
      <c r="Y33" s="39">
        <v>312.5</v>
      </c>
      <c r="Z33" s="48">
        <v>662.4</v>
      </c>
      <c r="AA33" s="35">
        <v>388.2</v>
      </c>
      <c r="AB33" s="35">
        <v>1322.6</v>
      </c>
      <c r="AC33" s="37">
        <v>311.5</v>
      </c>
      <c r="AD33" s="38">
        <v>678.6</v>
      </c>
      <c r="AE33" s="39">
        <v>310.89999999999998</v>
      </c>
      <c r="AF33" s="48">
        <v>997.3</v>
      </c>
      <c r="AG33" s="41">
        <v>259.10000000000002</v>
      </c>
      <c r="AH33" s="45">
        <v>417</v>
      </c>
    </row>
    <row r="34" spans="1:34" ht="21" customHeight="1">
      <c r="A34" s="46">
        <v>26</v>
      </c>
      <c r="B34" s="47" t="s">
        <v>52</v>
      </c>
      <c r="C34" s="35">
        <v>339</v>
      </c>
      <c r="D34" s="35">
        <v>1133.2</v>
      </c>
      <c r="E34" s="37">
        <v>342.2</v>
      </c>
      <c r="F34" s="38">
        <v>1017.8</v>
      </c>
      <c r="G34" s="37">
        <v>331.2</v>
      </c>
      <c r="H34" s="38">
        <v>1083.3</v>
      </c>
      <c r="I34" s="35">
        <v>352.3</v>
      </c>
      <c r="J34" s="35">
        <v>1560</v>
      </c>
      <c r="K34" s="39">
        <v>379.3</v>
      </c>
      <c r="L34" s="48">
        <v>1046.8</v>
      </c>
      <c r="M34" s="41">
        <v>282.10000000000002</v>
      </c>
      <c r="N34" s="41">
        <v>486.1</v>
      </c>
      <c r="O34" s="37">
        <v>316.10000000000002</v>
      </c>
      <c r="P34" s="38">
        <v>895.6</v>
      </c>
      <c r="Q34" s="35">
        <v>358.8</v>
      </c>
      <c r="R34" s="49">
        <v>1326</v>
      </c>
      <c r="S34" s="50">
        <v>322</v>
      </c>
      <c r="T34" s="35">
        <v>730.5</v>
      </c>
      <c r="U34" s="39">
        <v>364.7</v>
      </c>
      <c r="V34" s="48">
        <v>1235.5999999999999</v>
      </c>
      <c r="W34" s="35">
        <v>314.8</v>
      </c>
      <c r="X34" s="35">
        <v>719.5</v>
      </c>
      <c r="Y34" s="39">
        <v>309.10000000000002</v>
      </c>
      <c r="Z34" s="48">
        <v>479.8</v>
      </c>
      <c r="AA34" s="35">
        <v>407.4</v>
      </c>
      <c r="AB34" s="35">
        <v>1655.5</v>
      </c>
      <c r="AC34" s="37">
        <v>316.60000000000002</v>
      </c>
      <c r="AD34" s="38">
        <v>793</v>
      </c>
      <c r="AE34" s="39">
        <v>319.8</v>
      </c>
      <c r="AF34" s="48">
        <v>977.1</v>
      </c>
      <c r="AG34" s="41">
        <v>274.89999999999998</v>
      </c>
      <c r="AH34" s="45">
        <v>543.4</v>
      </c>
    </row>
    <row r="35" spans="1:34">
      <c r="A35" s="46">
        <v>27</v>
      </c>
      <c r="B35" s="47" t="s">
        <v>53</v>
      </c>
      <c r="C35" s="35">
        <v>374</v>
      </c>
      <c r="D35" s="35">
        <v>757.4</v>
      </c>
      <c r="E35" s="37">
        <v>439</v>
      </c>
      <c r="F35" s="38">
        <v>1425.8</v>
      </c>
      <c r="G35" s="37">
        <v>347.2</v>
      </c>
      <c r="H35" s="38">
        <v>1137.9000000000001</v>
      </c>
      <c r="I35" s="35">
        <v>399</v>
      </c>
      <c r="J35" s="35">
        <v>1835.9</v>
      </c>
      <c r="K35" s="39">
        <v>367</v>
      </c>
      <c r="L35" s="48">
        <v>1111.3</v>
      </c>
      <c r="M35" s="41">
        <v>315.60000000000002</v>
      </c>
      <c r="N35" s="41">
        <v>649.9</v>
      </c>
      <c r="O35" s="37">
        <v>367.8</v>
      </c>
      <c r="P35" s="38">
        <v>1279.3</v>
      </c>
      <c r="Q35" s="35">
        <v>394.8</v>
      </c>
      <c r="R35" s="49">
        <v>1440.9</v>
      </c>
      <c r="S35" s="50">
        <v>355.1</v>
      </c>
      <c r="T35" s="35">
        <v>1128.5</v>
      </c>
      <c r="U35" s="39">
        <v>388.3</v>
      </c>
      <c r="V35" s="48">
        <v>1397.9</v>
      </c>
      <c r="W35" s="35">
        <v>286.7</v>
      </c>
      <c r="X35" s="35">
        <v>411.1</v>
      </c>
      <c r="Y35" s="39">
        <v>307.8</v>
      </c>
      <c r="Z35" s="48">
        <v>483.4</v>
      </c>
      <c r="AA35" s="35">
        <v>374.8</v>
      </c>
      <c r="AB35" s="35">
        <v>1565</v>
      </c>
      <c r="AC35" s="37">
        <v>315.7</v>
      </c>
      <c r="AD35" s="38">
        <v>740</v>
      </c>
      <c r="AE35" s="39">
        <v>343.3</v>
      </c>
      <c r="AF35" s="48">
        <v>1234.8</v>
      </c>
      <c r="AG35" s="41">
        <v>283.10000000000002</v>
      </c>
      <c r="AH35" s="45">
        <v>512.6</v>
      </c>
    </row>
    <row r="36" spans="1:34">
      <c r="A36" s="46">
        <v>28</v>
      </c>
      <c r="B36" s="47" t="s">
        <v>54</v>
      </c>
      <c r="C36" s="35">
        <v>349.1</v>
      </c>
      <c r="D36" s="35">
        <v>952.6</v>
      </c>
      <c r="E36" s="37">
        <v>339.1</v>
      </c>
      <c r="F36" s="38">
        <v>895.4</v>
      </c>
      <c r="G36" s="37">
        <v>334.7</v>
      </c>
      <c r="H36" s="38">
        <v>1303.2</v>
      </c>
      <c r="I36" s="35">
        <v>335.6</v>
      </c>
      <c r="J36" s="35">
        <v>1298.9000000000001</v>
      </c>
      <c r="K36" s="39">
        <v>381.5</v>
      </c>
      <c r="L36" s="48">
        <v>1597.1</v>
      </c>
      <c r="M36" s="41">
        <v>277.7</v>
      </c>
      <c r="N36" s="41">
        <v>682</v>
      </c>
      <c r="O36" s="37">
        <v>319.89999999999998</v>
      </c>
      <c r="P36" s="38">
        <v>852.5</v>
      </c>
      <c r="Q36" s="35">
        <v>376.6</v>
      </c>
      <c r="R36" s="49">
        <v>1153.3</v>
      </c>
      <c r="S36" s="50">
        <v>330.7</v>
      </c>
      <c r="T36" s="35">
        <v>1133.2</v>
      </c>
      <c r="U36" s="39">
        <v>390.3</v>
      </c>
      <c r="V36" s="48">
        <v>1478.7</v>
      </c>
      <c r="W36" s="35">
        <v>256.10000000000002</v>
      </c>
      <c r="X36" s="35">
        <v>305.10000000000002</v>
      </c>
      <c r="Y36" s="39">
        <v>270.89999999999998</v>
      </c>
      <c r="Z36" s="48">
        <v>358.9</v>
      </c>
      <c r="AA36" s="35">
        <v>368.1</v>
      </c>
      <c r="AB36" s="35">
        <v>1218.7</v>
      </c>
      <c r="AC36" s="37">
        <v>316.39999999999998</v>
      </c>
      <c r="AD36" s="38">
        <v>685.2</v>
      </c>
      <c r="AE36" s="39">
        <v>308.2</v>
      </c>
      <c r="AF36" s="48">
        <v>1060.3</v>
      </c>
      <c r="AG36" s="41">
        <v>270</v>
      </c>
      <c r="AH36" s="45">
        <v>493.8</v>
      </c>
    </row>
    <row r="37" spans="1:34">
      <c r="A37" s="46">
        <v>29</v>
      </c>
      <c r="B37" s="47" t="s">
        <v>55</v>
      </c>
      <c r="C37" s="35" t="s">
        <v>56</v>
      </c>
      <c r="D37" s="35" t="s">
        <v>56</v>
      </c>
      <c r="E37" s="37">
        <v>366.5</v>
      </c>
      <c r="F37" s="38">
        <v>1126.0999999999999</v>
      </c>
      <c r="G37" s="37">
        <v>297.89999999999998</v>
      </c>
      <c r="H37" s="38">
        <v>863.4</v>
      </c>
      <c r="I37" s="35">
        <v>379.9</v>
      </c>
      <c r="J37" s="35">
        <v>1619.5</v>
      </c>
      <c r="K37" s="39">
        <v>338.5</v>
      </c>
      <c r="L37" s="48">
        <v>830.1</v>
      </c>
      <c r="M37" s="41">
        <v>304.8</v>
      </c>
      <c r="N37" s="41">
        <v>595.29999999999995</v>
      </c>
      <c r="O37" s="37">
        <v>302.5</v>
      </c>
      <c r="P37" s="38">
        <v>750.8</v>
      </c>
      <c r="Q37" s="35">
        <v>401.4</v>
      </c>
      <c r="R37" s="49">
        <v>1501.2</v>
      </c>
      <c r="S37" s="50">
        <v>313.7</v>
      </c>
      <c r="T37" s="35">
        <v>884.3</v>
      </c>
      <c r="U37" s="39">
        <v>334.5</v>
      </c>
      <c r="V37" s="48">
        <v>1133.5</v>
      </c>
      <c r="W37" s="35">
        <v>293.10000000000002</v>
      </c>
      <c r="X37" s="35">
        <v>666.3</v>
      </c>
      <c r="Y37" s="39">
        <v>266.60000000000002</v>
      </c>
      <c r="Z37" s="48">
        <v>287.89999999999998</v>
      </c>
      <c r="AA37" s="35">
        <v>375.9</v>
      </c>
      <c r="AB37" s="35">
        <v>1199.9000000000001</v>
      </c>
      <c r="AC37" s="37">
        <v>323.5</v>
      </c>
      <c r="AD37" s="38">
        <v>652.1</v>
      </c>
      <c r="AE37" s="39">
        <v>306.2</v>
      </c>
      <c r="AF37" s="48">
        <v>1027.8</v>
      </c>
      <c r="AG37" s="41">
        <v>246.7</v>
      </c>
      <c r="AH37" s="45">
        <v>414.1</v>
      </c>
    </row>
    <row r="38" spans="1:34">
      <c r="A38" s="51">
        <v>30</v>
      </c>
      <c r="B38" s="52" t="s">
        <v>57</v>
      </c>
      <c r="C38" s="35">
        <v>348.2</v>
      </c>
      <c r="D38" s="35">
        <v>761</v>
      </c>
      <c r="E38" s="37">
        <v>354.6</v>
      </c>
      <c r="F38" s="38">
        <v>917.4</v>
      </c>
      <c r="G38" s="37">
        <v>304.89999999999998</v>
      </c>
      <c r="H38" s="38">
        <v>1081.2</v>
      </c>
      <c r="I38" s="35">
        <v>375.5</v>
      </c>
      <c r="J38" s="35">
        <v>1567.9</v>
      </c>
      <c r="K38" s="39">
        <v>319.3</v>
      </c>
      <c r="L38" s="48">
        <v>987.3</v>
      </c>
      <c r="M38" s="41">
        <v>298.5</v>
      </c>
      <c r="N38" s="41">
        <v>638.79999999999995</v>
      </c>
      <c r="O38" s="37">
        <v>277.10000000000002</v>
      </c>
      <c r="P38" s="38">
        <v>631.29999999999995</v>
      </c>
      <c r="Q38" s="35">
        <v>350.7</v>
      </c>
      <c r="R38" s="49">
        <v>1123.3</v>
      </c>
      <c r="S38" s="50">
        <v>290.2</v>
      </c>
      <c r="T38" s="35">
        <v>708.2</v>
      </c>
      <c r="U38" s="39">
        <v>330.1</v>
      </c>
      <c r="V38" s="48">
        <v>1035.5999999999999</v>
      </c>
      <c r="W38" s="35">
        <v>230.1</v>
      </c>
      <c r="X38" s="35">
        <v>190</v>
      </c>
      <c r="Y38" s="39">
        <v>243.6</v>
      </c>
      <c r="Z38" s="48">
        <v>317.2</v>
      </c>
      <c r="AA38" s="35">
        <v>369.9</v>
      </c>
      <c r="AB38" s="35">
        <v>1144.5</v>
      </c>
      <c r="AC38" s="37">
        <v>293.2</v>
      </c>
      <c r="AD38" s="38">
        <v>729.6</v>
      </c>
      <c r="AE38" s="39">
        <v>298.89999999999998</v>
      </c>
      <c r="AF38" s="48">
        <v>1167.7</v>
      </c>
      <c r="AG38" s="41">
        <v>254.7</v>
      </c>
      <c r="AH38" s="45">
        <v>551.1</v>
      </c>
    </row>
    <row r="39" spans="1:34" ht="21" customHeight="1">
      <c r="A39" s="46">
        <v>31</v>
      </c>
      <c r="B39" s="47" t="s">
        <v>58</v>
      </c>
      <c r="C39" s="35" t="s">
        <v>56</v>
      </c>
      <c r="D39" s="35" t="s">
        <v>56</v>
      </c>
      <c r="E39" s="37">
        <v>274.89999999999998</v>
      </c>
      <c r="F39" s="38">
        <v>494.9</v>
      </c>
      <c r="G39" s="37">
        <v>253.9</v>
      </c>
      <c r="H39" s="38">
        <v>605</v>
      </c>
      <c r="I39" s="35">
        <v>349.7</v>
      </c>
      <c r="J39" s="35">
        <v>1056.9000000000001</v>
      </c>
      <c r="K39" s="39">
        <v>294.8</v>
      </c>
      <c r="L39" s="48">
        <v>800.1</v>
      </c>
      <c r="M39" s="41">
        <v>258.7</v>
      </c>
      <c r="N39" s="41">
        <v>435.4</v>
      </c>
      <c r="O39" s="37">
        <v>262.10000000000002</v>
      </c>
      <c r="P39" s="38">
        <v>595.1</v>
      </c>
      <c r="Q39" s="35">
        <v>328.9</v>
      </c>
      <c r="R39" s="49">
        <v>1080.8</v>
      </c>
      <c r="S39" s="50">
        <v>264.39999999999998</v>
      </c>
      <c r="T39" s="35">
        <v>646.79999999999995</v>
      </c>
      <c r="U39" s="39">
        <v>302.39999999999998</v>
      </c>
      <c r="V39" s="48">
        <v>1061.3</v>
      </c>
      <c r="W39" s="35">
        <v>222</v>
      </c>
      <c r="X39" s="35">
        <v>196.8</v>
      </c>
      <c r="Y39" s="39">
        <v>238.4</v>
      </c>
      <c r="Z39" s="48">
        <v>397</v>
      </c>
      <c r="AA39" s="35">
        <v>339.5</v>
      </c>
      <c r="AB39" s="35">
        <v>931.7</v>
      </c>
      <c r="AC39" s="37">
        <v>288.3</v>
      </c>
      <c r="AD39" s="38">
        <v>609.79999999999995</v>
      </c>
      <c r="AE39" s="39">
        <v>263.5</v>
      </c>
      <c r="AF39" s="48">
        <v>606.79999999999995</v>
      </c>
      <c r="AG39" s="41">
        <v>228.3</v>
      </c>
      <c r="AH39" s="45">
        <v>390.4</v>
      </c>
    </row>
    <row r="40" spans="1:34">
      <c r="A40" s="46">
        <v>32</v>
      </c>
      <c r="B40" s="47" t="s">
        <v>59</v>
      </c>
      <c r="C40" s="35">
        <v>272.7</v>
      </c>
      <c r="D40" s="35">
        <v>474.1</v>
      </c>
      <c r="E40" s="37">
        <v>287.7</v>
      </c>
      <c r="F40" s="38">
        <v>745.5</v>
      </c>
      <c r="G40" s="37">
        <v>267</v>
      </c>
      <c r="H40" s="38">
        <v>745.3</v>
      </c>
      <c r="I40" s="35">
        <v>413.9</v>
      </c>
      <c r="J40" s="35">
        <v>1290.0999999999999</v>
      </c>
      <c r="K40" s="39">
        <v>304.89999999999998</v>
      </c>
      <c r="L40" s="48">
        <v>843.1</v>
      </c>
      <c r="M40" s="41">
        <v>255.5</v>
      </c>
      <c r="N40" s="41">
        <v>491.7</v>
      </c>
      <c r="O40" s="37">
        <v>267.5</v>
      </c>
      <c r="P40" s="38">
        <v>730.9</v>
      </c>
      <c r="Q40" s="35">
        <v>346.3</v>
      </c>
      <c r="R40" s="49">
        <v>1349.5</v>
      </c>
      <c r="S40" s="50">
        <v>254.5</v>
      </c>
      <c r="T40" s="35">
        <v>583.9</v>
      </c>
      <c r="U40" s="39">
        <v>320.89999999999998</v>
      </c>
      <c r="V40" s="48">
        <v>1390.2</v>
      </c>
      <c r="W40" s="35">
        <v>224.6</v>
      </c>
      <c r="X40" s="35">
        <v>238.8</v>
      </c>
      <c r="Y40" s="39">
        <v>226.2</v>
      </c>
      <c r="Z40" s="48">
        <v>380.4</v>
      </c>
      <c r="AA40" s="35">
        <v>323.8</v>
      </c>
      <c r="AB40" s="35">
        <v>964.1</v>
      </c>
      <c r="AC40" s="37">
        <v>252.8</v>
      </c>
      <c r="AD40" s="38">
        <v>779.6</v>
      </c>
      <c r="AE40" s="39">
        <v>282.5</v>
      </c>
      <c r="AF40" s="48">
        <v>970.4</v>
      </c>
      <c r="AG40" s="41">
        <v>252.4</v>
      </c>
      <c r="AH40" s="45">
        <v>572.79999999999995</v>
      </c>
    </row>
    <row r="41" spans="1:34">
      <c r="A41" s="46">
        <v>33</v>
      </c>
      <c r="B41" s="47" t="s">
        <v>60</v>
      </c>
      <c r="C41" s="35">
        <v>280.10000000000002</v>
      </c>
      <c r="D41" s="35">
        <v>664.7</v>
      </c>
      <c r="E41" s="37">
        <v>331.5</v>
      </c>
      <c r="F41" s="38">
        <v>831.5</v>
      </c>
      <c r="G41" s="37">
        <v>302.39999999999998</v>
      </c>
      <c r="H41" s="38">
        <v>1032.3</v>
      </c>
      <c r="I41" s="35">
        <v>390.5</v>
      </c>
      <c r="J41" s="35">
        <v>1261.9000000000001</v>
      </c>
      <c r="K41" s="39">
        <v>326.60000000000002</v>
      </c>
      <c r="L41" s="48">
        <v>1301.2</v>
      </c>
      <c r="M41" s="41">
        <v>281.89999999999998</v>
      </c>
      <c r="N41" s="41">
        <v>574.79999999999995</v>
      </c>
      <c r="O41" s="37">
        <v>279</v>
      </c>
      <c r="P41" s="38">
        <v>684.6</v>
      </c>
      <c r="Q41" s="35">
        <v>355.4</v>
      </c>
      <c r="R41" s="49">
        <v>1258.3</v>
      </c>
      <c r="S41" s="50">
        <v>302.39999999999998</v>
      </c>
      <c r="T41" s="35">
        <v>1003.9</v>
      </c>
      <c r="U41" s="39">
        <v>372.7</v>
      </c>
      <c r="V41" s="48">
        <v>1106.3</v>
      </c>
      <c r="W41" s="35">
        <v>239.3</v>
      </c>
      <c r="X41" s="35">
        <v>230.9</v>
      </c>
      <c r="Y41" s="39">
        <v>253.7</v>
      </c>
      <c r="Z41" s="48">
        <v>366.4</v>
      </c>
      <c r="AA41" s="35">
        <v>391.8</v>
      </c>
      <c r="AB41" s="35">
        <v>1340.7</v>
      </c>
      <c r="AC41" s="37">
        <v>291.10000000000002</v>
      </c>
      <c r="AD41" s="38">
        <v>629.29999999999995</v>
      </c>
      <c r="AE41" s="39">
        <v>302.3</v>
      </c>
      <c r="AF41" s="48">
        <v>989.3</v>
      </c>
      <c r="AG41" s="41">
        <v>251.1</v>
      </c>
      <c r="AH41" s="45">
        <v>412.1</v>
      </c>
    </row>
    <row r="42" spans="1:34">
      <c r="A42" s="46">
        <v>34</v>
      </c>
      <c r="B42" s="47" t="s">
        <v>61</v>
      </c>
      <c r="C42" s="35">
        <v>348.2</v>
      </c>
      <c r="D42" s="35">
        <v>593.5</v>
      </c>
      <c r="E42" s="37">
        <v>335</v>
      </c>
      <c r="F42" s="38">
        <v>1026.5999999999999</v>
      </c>
      <c r="G42" s="37">
        <v>304.5</v>
      </c>
      <c r="H42" s="38">
        <v>1057.3</v>
      </c>
      <c r="I42" s="35">
        <v>449.5</v>
      </c>
      <c r="J42" s="35">
        <v>1429.6</v>
      </c>
      <c r="K42" s="39">
        <v>349.2</v>
      </c>
      <c r="L42" s="48">
        <v>1371.6</v>
      </c>
      <c r="M42" s="41">
        <v>309.3</v>
      </c>
      <c r="N42" s="41">
        <v>666.9</v>
      </c>
      <c r="O42" s="37">
        <v>318.7</v>
      </c>
      <c r="P42" s="38">
        <v>985.8</v>
      </c>
      <c r="Q42" s="35">
        <v>374.3</v>
      </c>
      <c r="R42" s="49">
        <v>1047.2</v>
      </c>
      <c r="S42" s="50">
        <v>323.2</v>
      </c>
      <c r="T42" s="35">
        <v>941.3</v>
      </c>
      <c r="U42" s="39">
        <v>351.2</v>
      </c>
      <c r="V42" s="48">
        <v>1092.5</v>
      </c>
      <c r="W42" s="35">
        <v>260.60000000000002</v>
      </c>
      <c r="X42" s="35">
        <v>375.9</v>
      </c>
      <c r="Y42" s="39">
        <v>269.5</v>
      </c>
      <c r="Z42" s="48">
        <v>413.4</v>
      </c>
      <c r="AA42" s="35">
        <v>357.1</v>
      </c>
      <c r="AB42" s="35">
        <v>1175.8</v>
      </c>
      <c r="AC42" s="37">
        <v>307.10000000000002</v>
      </c>
      <c r="AD42" s="38">
        <v>719.7</v>
      </c>
      <c r="AE42" s="39">
        <v>313</v>
      </c>
      <c r="AF42" s="48">
        <v>1062.5999999999999</v>
      </c>
      <c r="AG42" s="41">
        <v>278.7</v>
      </c>
      <c r="AH42" s="45">
        <v>586.70000000000005</v>
      </c>
    </row>
    <row r="43" spans="1:34">
      <c r="A43" s="51">
        <v>35</v>
      </c>
      <c r="B43" s="52" t="s">
        <v>62</v>
      </c>
      <c r="C43" s="35">
        <v>296.7</v>
      </c>
      <c r="D43" s="35">
        <v>1131.4000000000001</v>
      </c>
      <c r="E43" s="37">
        <v>313.10000000000002</v>
      </c>
      <c r="F43" s="38">
        <v>883.1</v>
      </c>
      <c r="G43" s="37">
        <v>321.8</v>
      </c>
      <c r="H43" s="38">
        <v>1207.3</v>
      </c>
      <c r="I43" s="35">
        <v>396.1</v>
      </c>
      <c r="J43" s="35">
        <v>1347.3</v>
      </c>
      <c r="K43" s="39">
        <v>362.3</v>
      </c>
      <c r="L43" s="48">
        <v>1130.3</v>
      </c>
      <c r="M43" s="41">
        <v>269.2</v>
      </c>
      <c r="N43" s="41">
        <v>530.4</v>
      </c>
      <c r="O43" s="37">
        <v>289.7</v>
      </c>
      <c r="P43" s="38">
        <v>746.3</v>
      </c>
      <c r="Q43" s="35">
        <v>341.2</v>
      </c>
      <c r="R43" s="49">
        <v>1114.2</v>
      </c>
      <c r="S43" s="50">
        <v>283.7</v>
      </c>
      <c r="T43" s="35">
        <v>682.7</v>
      </c>
      <c r="U43" s="39">
        <v>331</v>
      </c>
      <c r="V43" s="48">
        <v>1335.1</v>
      </c>
      <c r="W43" s="35">
        <v>232.2</v>
      </c>
      <c r="X43" s="35">
        <v>274.2</v>
      </c>
      <c r="Y43" s="39">
        <v>285</v>
      </c>
      <c r="Z43" s="48">
        <v>467.1</v>
      </c>
      <c r="AA43" s="35">
        <v>312.10000000000002</v>
      </c>
      <c r="AB43" s="35">
        <v>981</v>
      </c>
      <c r="AC43" s="37">
        <v>289.10000000000002</v>
      </c>
      <c r="AD43" s="38">
        <v>820.6</v>
      </c>
      <c r="AE43" s="39">
        <v>301.10000000000002</v>
      </c>
      <c r="AF43" s="48">
        <v>1026.3</v>
      </c>
      <c r="AG43" s="41">
        <v>248.3</v>
      </c>
      <c r="AH43" s="45">
        <v>434.4</v>
      </c>
    </row>
    <row r="44" spans="1:34" ht="21" customHeight="1">
      <c r="A44" s="46">
        <v>36</v>
      </c>
      <c r="B44" s="47" t="s">
        <v>63</v>
      </c>
      <c r="C44" s="35" t="s">
        <v>56</v>
      </c>
      <c r="D44" s="35" t="s">
        <v>56</v>
      </c>
      <c r="E44" s="37">
        <v>319.60000000000002</v>
      </c>
      <c r="F44" s="38">
        <v>988.8</v>
      </c>
      <c r="G44" s="37">
        <v>308.5</v>
      </c>
      <c r="H44" s="38">
        <v>1130.8</v>
      </c>
      <c r="I44" s="35">
        <v>372.1</v>
      </c>
      <c r="J44" s="35">
        <v>1339.7</v>
      </c>
      <c r="K44" s="39">
        <v>380.5</v>
      </c>
      <c r="L44" s="48">
        <v>1394.9</v>
      </c>
      <c r="M44" s="41">
        <v>273.8</v>
      </c>
      <c r="N44" s="41">
        <v>459.1</v>
      </c>
      <c r="O44" s="37">
        <v>267.39999999999998</v>
      </c>
      <c r="P44" s="38">
        <v>679.2</v>
      </c>
      <c r="Q44" s="35">
        <v>357.4</v>
      </c>
      <c r="R44" s="49">
        <v>1314.2</v>
      </c>
      <c r="S44" s="50">
        <v>266.2</v>
      </c>
      <c r="T44" s="35">
        <v>641.6</v>
      </c>
      <c r="U44" s="39">
        <v>321.89999999999998</v>
      </c>
      <c r="V44" s="48">
        <v>1209.2</v>
      </c>
      <c r="W44" s="35">
        <v>253.4</v>
      </c>
      <c r="X44" s="35">
        <v>379.3</v>
      </c>
      <c r="Y44" s="39">
        <v>246.3</v>
      </c>
      <c r="Z44" s="48">
        <v>349.9</v>
      </c>
      <c r="AA44" s="35">
        <v>362.4</v>
      </c>
      <c r="AB44" s="35">
        <v>1009</v>
      </c>
      <c r="AC44" s="37">
        <v>288.5</v>
      </c>
      <c r="AD44" s="38">
        <v>659.5</v>
      </c>
      <c r="AE44" s="39">
        <v>253.2</v>
      </c>
      <c r="AF44" s="48">
        <v>914.8</v>
      </c>
      <c r="AG44" s="41">
        <v>228.4</v>
      </c>
      <c r="AH44" s="45">
        <v>426</v>
      </c>
    </row>
    <row r="45" spans="1:34">
      <c r="A45" s="46">
        <v>37</v>
      </c>
      <c r="B45" s="47" t="s">
        <v>64</v>
      </c>
      <c r="C45" s="35">
        <v>304.8</v>
      </c>
      <c r="D45" s="35">
        <v>448</v>
      </c>
      <c r="E45" s="37">
        <v>331</v>
      </c>
      <c r="F45" s="38">
        <v>1033</v>
      </c>
      <c r="G45" s="37">
        <v>289.39999999999998</v>
      </c>
      <c r="H45" s="38">
        <v>975.8</v>
      </c>
      <c r="I45" s="35">
        <v>459.8</v>
      </c>
      <c r="J45" s="35">
        <v>1643</v>
      </c>
      <c r="K45" s="39">
        <v>384.1</v>
      </c>
      <c r="L45" s="48">
        <v>1764</v>
      </c>
      <c r="M45" s="41">
        <v>281.2</v>
      </c>
      <c r="N45" s="41">
        <v>562.4</v>
      </c>
      <c r="O45" s="37">
        <v>294.10000000000002</v>
      </c>
      <c r="P45" s="38">
        <v>839.4</v>
      </c>
      <c r="Q45" s="35">
        <v>390.7</v>
      </c>
      <c r="R45" s="49">
        <v>1338.3</v>
      </c>
      <c r="S45" s="50">
        <v>288.7</v>
      </c>
      <c r="T45" s="35">
        <v>717.9</v>
      </c>
      <c r="U45" s="39">
        <v>363</v>
      </c>
      <c r="V45" s="48">
        <v>1366.1</v>
      </c>
      <c r="W45" s="35">
        <v>239.5</v>
      </c>
      <c r="X45" s="35">
        <v>279.39999999999998</v>
      </c>
      <c r="Y45" s="39">
        <v>251.1</v>
      </c>
      <c r="Z45" s="48">
        <v>345.9</v>
      </c>
      <c r="AA45" s="35">
        <v>336.1</v>
      </c>
      <c r="AB45" s="35">
        <v>1169.4000000000001</v>
      </c>
      <c r="AC45" s="37">
        <v>297</v>
      </c>
      <c r="AD45" s="38">
        <v>619.79999999999995</v>
      </c>
      <c r="AE45" s="39">
        <v>277.89999999999998</v>
      </c>
      <c r="AF45" s="48">
        <v>890.5</v>
      </c>
      <c r="AG45" s="41">
        <v>240.6</v>
      </c>
      <c r="AH45" s="45">
        <v>383.7</v>
      </c>
    </row>
    <row r="46" spans="1:34">
      <c r="A46" s="46">
        <v>38</v>
      </c>
      <c r="B46" s="47" t="s">
        <v>65</v>
      </c>
      <c r="C46" s="35">
        <v>224.3</v>
      </c>
      <c r="D46" s="35">
        <v>599.9</v>
      </c>
      <c r="E46" s="37">
        <v>289.60000000000002</v>
      </c>
      <c r="F46" s="38">
        <v>698.4</v>
      </c>
      <c r="G46" s="37">
        <v>282</v>
      </c>
      <c r="H46" s="38">
        <v>884.4</v>
      </c>
      <c r="I46" s="35">
        <v>383</v>
      </c>
      <c r="J46" s="35">
        <v>1407.1</v>
      </c>
      <c r="K46" s="39">
        <v>358.3</v>
      </c>
      <c r="L46" s="48">
        <v>1128.7</v>
      </c>
      <c r="M46" s="41">
        <v>277.2</v>
      </c>
      <c r="N46" s="41">
        <v>582.1</v>
      </c>
      <c r="O46" s="37">
        <v>274</v>
      </c>
      <c r="P46" s="38">
        <v>720.4</v>
      </c>
      <c r="Q46" s="35">
        <v>355.7</v>
      </c>
      <c r="R46" s="49">
        <v>1183.8</v>
      </c>
      <c r="S46" s="50">
        <v>268</v>
      </c>
      <c r="T46" s="35">
        <v>624.5</v>
      </c>
      <c r="U46" s="39">
        <v>325.7</v>
      </c>
      <c r="V46" s="48">
        <v>925.3</v>
      </c>
      <c r="W46" s="35">
        <v>214.2</v>
      </c>
      <c r="X46" s="35">
        <v>195.4</v>
      </c>
      <c r="Y46" s="39">
        <v>263</v>
      </c>
      <c r="Z46" s="48">
        <v>407.6</v>
      </c>
      <c r="AA46" s="35">
        <v>329.2</v>
      </c>
      <c r="AB46" s="35">
        <v>1111.4000000000001</v>
      </c>
      <c r="AC46" s="37">
        <v>271.39999999999998</v>
      </c>
      <c r="AD46" s="38">
        <v>645.5</v>
      </c>
      <c r="AE46" s="39">
        <v>310.3</v>
      </c>
      <c r="AF46" s="48">
        <v>1074.2</v>
      </c>
      <c r="AG46" s="41">
        <v>238.2</v>
      </c>
      <c r="AH46" s="45">
        <v>468.1</v>
      </c>
    </row>
    <row r="47" spans="1:34">
      <c r="A47" s="46">
        <v>39</v>
      </c>
      <c r="B47" s="47" t="s">
        <v>66</v>
      </c>
      <c r="C47" s="35">
        <v>354.8</v>
      </c>
      <c r="D47" s="35">
        <v>1633.8</v>
      </c>
      <c r="E47" s="37">
        <v>274.7</v>
      </c>
      <c r="F47" s="38">
        <v>534.5</v>
      </c>
      <c r="G47" s="37">
        <v>257.8</v>
      </c>
      <c r="H47" s="38">
        <v>782.4</v>
      </c>
      <c r="I47" s="35">
        <v>407.7</v>
      </c>
      <c r="J47" s="35">
        <v>1435.9</v>
      </c>
      <c r="K47" s="39">
        <v>318.7</v>
      </c>
      <c r="L47" s="48">
        <v>1198.7</v>
      </c>
      <c r="M47" s="41">
        <v>253.4</v>
      </c>
      <c r="N47" s="41">
        <v>423.6</v>
      </c>
      <c r="O47" s="37">
        <v>259.60000000000002</v>
      </c>
      <c r="P47" s="38">
        <v>637.1</v>
      </c>
      <c r="Q47" s="35">
        <v>349.4</v>
      </c>
      <c r="R47" s="49">
        <v>1115.5</v>
      </c>
      <c r="S47" s="50">
        <v>235.9</v>
      </c>
      <c r="T47" s="35">
        <v>481.8</v>
      </c>
      <c r="U47" s="39">
        <v>328.3</v>
      </c>
      <c r="V47" s="48">
        <v>888.8</v>
      </c>
      <c r="W47" s="35">
        <v>231.5</v>
      </c>
      <c r="X47" s="35">
        <v>243.1</v>
      </c>
      <c r="Y47" s="39">
        <v>255.5</v>
      </c>
      <c r="Z47" s="48">
        <v>417</v>
      </c>
      <c r="AA47" s="35">
        <v>341</v>
      </c>
      <c r="AB47" s="35">
        <v>1061.4000000000001</v>
      </c>
      <c r="AC47" s="37">
        <v>275.3</v>
      </c>
      <c r="AD47" s="38">
        <v>676.4</v>
      </c>
      <c r="AE47" s="39">
        <v>290.7</v>
      </c>
      <c r="AF47" s="48">
        <v>897.2</v>
      </c>
      <c r="AG47" s="41">
        <v>234.7</v>
      </c>
      <c r="AH47" s="45">
        <v>385.3</v>
      </c>
    </row>
    <row r="48" spans="1:34">
      <c r="A48" s="51">
        <v>40</v>
      </c>
      <c r="B48" s="52" t="s">
        <v>67</v>
      </c>
      <c r="C48" s="35">
        <v>391.7</v>
      </c>
      <c r="D48" s="35">
        <v>1153</v>
      </c>
      <c r="E48" s="37">
        <v>360</v>
      </c>
      <c r="F48" s="38">
        <v>1210.3</v>
      </c>
      <c r="G48" s="37">
        <v>279</v>
      </c>
      <c r="H48" s="38">
        <v>876.9</v>
      </c>
      <c r="I48" s="35">
        <v>416</v>
      </c>
      <c r="J48" s="35">
        <v>1594.6</v>
      </c>
      <c r="K48" s="39">
        <v>351.6</v>
      </c>
      <c r="L48" s="48">
        <v>1183.3</v>
      </c>
      <c r="M48" s="41">
        <v>278.8</v>
      </c>
      <c r="N48" s="41">
        <v>675.8</v>
      </c>
      <c r="O48" s="37">
        <v>314.39999999999998</v>
      </c>
      <c r="P48" s="38">
        <v>989.6</v>
      </c>
      <c r="Q48" s="35">
        <v>401.3</v>
      </c>
      <c r="R48" s="49">
        <v>1349</v>
      </c>
      <c r="S48" s="50">
        <v>313.2</v>
      </c>
      <c r="T48" s="35">
        <v>979.9</v>
      </c>
      <c r="U48" s="39">
        <v>370.3</v>
      </c>
      <c r="V48" s="48">
        <v>1563.8</v>
      </c>
      <c r="W48" s="35">
        <v>264.10000000000002</v>
      </c>
      <c r="X48" s="35">
        <v>380.8</v>
      </c>
      <c r="Y48" s="39">
        <v>270.10000000000002</v>
      </c>
      <c r="Z48" s="48">
        <v>467.3</v>
      </c>
      <c r="AA48" s="35">
        <v>356.4</v>
      </c>
      <c r="AB48" s="35">
        <v>1060.3</v>
      </c>
      <c r="AC48" s="37">
        <v>307</v>
      </c>
      <c r="AD48" s="38">
        <v>679.7</v>
      </c>
      <c r="AE48" s="39">
        <v>296.2</v>
      </c>
      <c r="AF48" s="48">
        <v>1020</v>
      </c>
      <c r="AG48" s="41">
        <v>252.8</v>
      </c>
      <c r="AH48" s="45">
        <v>466.5</v>
      </c>
    </row>
    <row r="49" spans="1:34" ht="21" customHeight="1">
      <c r="A49" s="46">
        <v>41</v>
      </c>
      <c r="B49" s="47" t="s">
        <v>68</v>
      </c>
      <c r="C49" s="35">
        <v>263.89999999999998</v>
      </c>
      <c r="D49" s="35">
        <v>443.8</v>
      </c>
      <c r="E49" s="37">
        <v>266.60000000000002</v>
      </c>
      <c r="F49" s="38">
        <v>745.2</v>
      </c>
      <c r="G49" s="37">
        <v>275.10000000000002</v>
      </c>
      <c r="H49" s="38">
        <v>948</v>
      </c>
      <c r="I49" s="35">
        <v>379.6</v>
      </c>
      <c r="J49" s="35">
        <v>1258.3</v>
      </c>
      <c r="K49" s="39">
        <v>275.60000000000002</v>
      </c>
      <c r="L49" s="48">
        <v>697.5</v>
      </c>
      <c r="M49" s="41">
        <v>248.7</v>
      </c>
      <c r="N49" s="41">
        <v>447.5</v>
      </c>
      <c r="O49" s="37">
        <v>271.5</v>
      </c>
      <c r="P49" s="38">
        <v>645.9</v>
      </c>
      <c r="Q49" s="35">
        <v>314.2</v>
      </c>
      <c r="R49" s="49">
        <v>1140.8</v>
      </c>
      <c r="S49" s="50">
        <v>294</v>
      </c>
      <c r="T49" s="35">
        <v>709.6</v>
      </c>
      <c r="U49" s="39">
        <v>300.89999999999998</v>
      </c>
      <c r="V49" s="48">
        <v>972.9</v>
      </c>
      <c r="W49" s="35">
        <v>223.6</v>
      </c>
      <c r="X49" s="35">
        <v>228.5</v>
      </c>
      <c r="Y49" s="39">
        <v>265.2</v>
      </c>
      <c r="Z49" s="48">
        <v>418</v>
      </c>
      <c r="AA49" s="35">
        <v>297.8</v>
      </c>
      <c r="AB49" s="35">
        <v>875.1</v>
      </c>
      <c r="AC49" s="37">
        <v>288.3</v>
      </c>
      <c r="AD49" s="38">
        <v>633.70000000000005</v>
      </c>
      <c r="AE49" s="39">
        <v>291.3</v>
      </c>
      <c r="AF49" s="48">
        <v>943.5</v>
      </c>
      <c r="AG49" s="41">
        <v>263.10000000000002</v>
      </c>
      <c r="AH49" s="45">
        <v>512.6</v>
      </c>
    </row>
    <row r="50" spans="1:34">
      <c r="A50" s="46">
        <v>42</v>
      </c>
      <c r="B50" s="47" t="s">
        <v>69</v>
      </c>
      <c r="C50" s="35">
        <v>299.3</v>
      </c>
      <c r="D50" s="35">
        <v>608.70000000000005</v>
      </c>
      <c r="E50" s="37">
        <v>265.89999999999998</v>
      </c>
      <c r="F50" s="38">
        <v>763.5</v>
      </c>
      <c r="G50" s="37">
        <v>273.2</v>
      </c>
      <c r="H50" s="38">
        <v>835.8</v>
      </c>
      <c r="I50" s="35">
        <v>390.9</v>
      </c>
      <c r="J50" s="35">
        <v>1210.4000000000001</v>
      </c>
      <c r="K50" s="39">
        <v>295.60000000000002</v>
      </c>
      <c r="L50" s="48">
        <v>807.6</v>
      </c>
      <c r="M50" s="41">
        <v>246</v>
      </c>
      <c r="N50" s="41">
        <v>390.8</v>
      </c>
      <c r="O50" s="37">
        <v>264.5</v>
      </c>
      <c r="P50" s="38">
        <v>650.6</v>
      </c>
      <c r="Q50" s="35">
        <v>341.9</v>
      </c>
      <c r="R50" s="49">
        <v>1110.3</v>
      </c>
      <c r="S50" s="50">
        <v>269.2</v>
      </c>
      <c r="T50" s="35">
        <v>624.4</v>
      </c>
      <c r="U50" s="39">
        <v>369.6</v>
      </c>
      <c r="V50" s="48">
        <v>1578</v>
      </c>
      <c r="W50" s="35">
        <v>232.1</v>
      </c>
      <c r="X50" s="35">
        <v>239.6</v>
      </c>
      <c r="Y50" s="39">
        <v>243</v>
      </c>
      <c r="Z50" s="48">
        <v>419.8</v>
      </c>
      <c r="AA50" s="35">
        <v>312.10000000000002</v>
      </c>
      <c r="AB50" s="35">
        <v>960.2</v>
      </c>
      <c r="AC50" s="37">
        <v>290.7</v>
      </c>
      <c r="AD50" s="38">
        <v>703.7</v>
      </c>
      <c r="AE50" s="39">
        <v>277.8</v>
      </c>
      <c r="AF50" s="48">
        <v>950.9</v>
      </c>
      <c r="AG50" s="41">
        <v>234.7</v>
      </c>
      <c r="AH50" s="45">
        <v>417.6</v>
      </c>
    </row>
    <row r="51" spans="1:34">
      <c r="A51" s="46">
        <v>43</v>
      </c>
      <c r="B51" s="47" t="s">
        <v>70</v>
      </c>
      <c r="C51" s="35">
        <v>256.3</v>
      </c>
      <c r="D51" s="35">
        <v>448.7</v>
      </c>
      <c r="E51" s="37">
        <v>301.8</v>
      </c>
      <c r="F51" s="38">
        <v>1023.2</v>
      </c>
      <c r="G51" s="37">
        <v>287.60000000000002</v>
      </c>
      <c r="H51" s="38">
        <v>1013.2</v>
      </c>
      <c r="I51" s="35">
        <v>358.2</v>
      </c>
      <c r="J51" s="35">
        <v>1179.7</v>
      </c>
      <c r="K51" s="39">
        <v>310</v>
      </c>
      <c r="L51" s="48">
        <v>1168.2</v>
      </c>
      <c r="M51" s="41">
        <v>268</v>
      </c>
      <c r="N51" s="41">
        <v>427.2</v>
      </c>
      <c r="O51" s="37">
        <v>260.2</v>
      </c>
      <c r="P51" s="38">
        <v>680.3</v>
      </c>
      <c r="Q51" s="35">
        <v>378.1</v>
      </c>
      <c r="R51" s="49">
        <v>1007.4</v>
      </c>
      <c r="S51" s="50">
        <v>280.60000000000002</v>
      </c>
      <c r="T51" s="35">
        <v>663.1</v>
      </c>
      <c r="U51" s="39">
        <v>331.9</v>
      </c>
      <c r="V51" s="48">
        <v>1164.3</v>
      </c>
      <c r="W51" s="35">
        <v>230.5</v>
      </c>
      <c r="X51" s="35">
        <v>238.5</v>
      </c>
      <c r="Y51" s="39">
        <v>260.2</v>
      </c>
      <c r="Z51" s="48">
        <v>417.3</v>
      </c>
      <c r="AA51" s="35">
        <v>317.89999999999998</v>
      </c>
      <c r="AB51" s="35">
        <v>989.9</v>
      </c>
      <c r="AC51" s="37">
        <v>293.3</v>
      </c>
      <c r="AD51" s="38">
        <v>750.8</v>
      </c>
      <c r="AE51" s="39">
        <v>289.89999999999998</v>
      </c>
      <c r="AF51" s="48">
        <v>953.8</v>
      </c>
      <c r="AG51" s="41">
        <v>229.3</v>
      </c>
      <c r="AH51" s="45">
        <v>276.89999999999998</v>
      </c>
    </row>
    <row r="52" spans="1:34">
      <c r="A52" s="46">
        <v>44</v>
      </c>
      <c r="B52" s="47" t="s">
        <v>71</v>
      </c>
      <c r="C52" s="35">
        <v>317.89999999999998</v>
      </c>
      <c r="D52" s="35">
        <v>1188.5999999999999</v>
      </c>
      <c r="E52" s="37">
        <v>321.2</v>
      </c>
      <c r="F52" s="38">
        <v>903</v>
      </c>
      <c r="G52" s="37">
        <v>285.5</v>
      </c>
      <c r="H52" s="38">
        <v>982.8</v>
      </c>
      <c r="I52" s="35">
        <v>396.9</v>
      </c>
      <c r="J52" s="35">
        <v>1296.5</v>
      </c>
      <c r="K52" s="39">
        <v>311</v>
      </c>
      <c r="L52" s="48">
        <v>1061.3</v>
      </c>
      <c r="M52" s="41">
        <v>257.89999999999998</v>
      </c>
      <c r="N52" s="41">
        <v>434.2</v>
      </c>
      <c r="O52" s="37">
        <v>266.39999999999998</v>
      </c>
      <c r="P52" s="38">
        <v>651.1</v>
      </c>
      <c r="Q52" s="35">
        <v>310.39999999999998</v>
      </c>
      <c r="R52" s="49">
        <v>1199.0999999999999</v>
      </c>
      <c r="S52" s="50">
        <v>277.8</v>
      </c>
      <c r="T52" s="35">
        <v>869.5</v>
      </c>
      <c r="U52" s="39">
        <v>300.8</v>
      </c>
      <c r="V52" s="48">
        <v>1038.4000000000001</v>
      </c>
      <c r="W52" s="35">
        <v>240.2</v>
      </c>
      <c r="X52" s="35">
        <v>301.5</v>
      </c>
      <c r="Y52" s="39">
        <v>249.7</v>
      </c>
      <c r="Z52" s="48">
        <v>355.2</v>
      </c>
      <c r="AA52" s="35">
        <v>314.3</v>
      </c>
      <c r="AB52" s="35">
        <v>1155.9000000000001</v>
      </c>
      <c r="AC52" s="37">
        <v>295.39999999999998</v>
      </c>
      <c r="AD52" s="38">
        <v>612.4</v>
      </c>
      <c r="AE52" s="39">
        <v>273.2</v>
      </c>
      <c r="AF52" s="48">
        <v>768.1</v>
      </c>
      <c r="AG52" s="41">
        <v>241.8</v>
      </c>
      <c r="AH52" s="45">
        <v>460.5</v>
      </c>
    </row>
    <row r="53" spans="1:34">
      <c r="A53" s="51">
        <v>45</v>
      </c>
      <c r="B53" s="52" t="s">
        <v>72</v>
      </c>
      <c r="C53" s="35">
        <v>233.8</v>
      </c>
      <c r="D53" s="35">
        <v>411.2</v>
      </c>
      <c r="E53" s="37">
        <v>291.5</v>
      </c>
      <c r="F53" s="38">
        <v>901.9</v>
      </c>
      <c r="G53" s="37">
        <v>248.1</v>
      </c>
      <c r="H53" s="38">
        <v>782.3</v>
      </c>
      <c r="I53" s="35">
        <v>423.3</v>
      </c>
      <c r="J53" s="35">
        <v>1455.8</v>
      </c>
      <c r="K53" s="39">
        <v>299.5</v>
      </c>
      <c r="L53" s="48">
        <v>812.3</v>
      </c>
      <c r="M53" s="41">
        <v>252.9</v>
      </c>
      <c r="N53" s="41">
        <v>366.7</v>
      </c>
      <c r="O53" s="37">
        <v>256.89999999999998</v>
      </c>
      <c r="P53" s="38">
        <v>556</v>
      </c>
      <c r="Q53" s="35">
        <v>314.2</v>
      </c>
      <c r="R53" s="49">
        <v>982.6</v>
      </c>
      <c r="S53" s="50">
        <v>262.10000000000002</v>
      </c>
      <c r="T53" s="35">
        <v>711.4</v>
      </c>
      <c r="U53" s="39">
        <v>305.3</v>
      </c>
      <c r="V53" s="48">
        <v>1016.1</v>
      </c>
      <c r="W53" s="35">
        <v>208.5</v>
      </c>
      <c r="X53" s="35">
        <v>200.5</v>
      </c>
      <c r="Y53" s="39">
        <v>243.4</v>
      </c>
      <c r="Z53" s="48">
        <v>407.7</v>
      </c>
      <c r="AA53" s="35">
        <v>288.7</v>
      </c>
      <c r="AB53" s="35">
        <v>835.6</v>
      </c>
      <c r="AC53" s="37">
        <v>258.5</v>
      </c>
      <c r="AD53" s="38">
        <v>622.9</v>
      </c>
      <c r="AE53" s="39">
        <v>264.3</v>
      </c>
      <c r="AF53" s="48">
        <v>843.6</v>
      </c>
      <c r="AG53" s="41">
        <v>223.9</v>
      </c>
      <c r="AH53" s="45">
        <v>412.5</v>
      </c>
    </row>
    <row r="54" spans="1:34" ht="21" customHeight="1">
      <c r="A54" s="51">
        <v>46</v>
      </c>
      <c r="B54" s="52" t="s">
        <v>73</v>
      </c>
      <c r="C54" s="35">
        <v>331.9</v>
      </c>
      <c r="D54" s="35">
        <v>1358.7</v>
      </c>
      <c r="E54" s="37">
        <v>312.3</v>
      </c>
      <c r="F54" s="38">
        <v>876.4</v>
      </c>
      <c r="G54" s="37">
        <v>270.39999999999998</v>
      </c>
      <c r="H54" s="38">
        <v>869.9</v>
      </c>
      <c r="I54" s="35">
        <v>410.6</v>
      </c>
      <c r="J54" s="35">
        <v>1350.4</v>
      </c>
      <c r="K54" s="39">
        <v>339.5</v>
      </c>
      <c r="L54" s="48">
        <v>1000.5</v>
      </c>
      <c r="M54" s="41">
        <v>266.60000000000002</v>
      </c>
      <c r="N54" s="41">
        <v>530.20000000000005</v>
      </c>
      <c r="O54" s="37">
        <v>264.3</v>
      </c>
      <c r="P54" s="38">
        <v>618.4</v>
      </c>
      <c r="Q54" s="35">
        <v>351.5</v>
      </c>
      <c r="R54" s="49">
        <v>1440.7</v>
      </c>
      <c r="S54" s="50">
        <v>279.8</v>
      </c>
      <c r="T54" s="35">
        <v>605.9</v>
      </c>
      <c r="U54" s="39">
        <v>305.3</v>
      </c>
      <c r="V54" s="48">
        <v>822.4</v>
      </c>
      <c r="W54" s="35">
        <v>219</v>
      </c>
      <c r="X54" s="35">
        <v>211.4</v>
      </c>
      <c r="Y54" s="39">
        <v>246.6</v>
      </c>
      <c r="Z54" s="48">
        <v>442.5</v>
      </c>
      <c r="AA54" s="35">
        <v>327.3</v>
      </c>
      <c r="AB54" s="35">
        <v>1196.2</v>
      </c>
      <c r="AC54" s="37">
        <v>263.7</v>
      </c>
      <c r="AD54" s="38">
        <v>601.79999999999995</v>
      </c>
      <c r="AE54" s="39">
        <v>257.10000000000002</v>
      </c>
      <c r="AF54" s="48">
        <v>781</v>
      </c>
      <c r="AG54" s="41">
        <v>248.7</v>
      </c>
      <c r="AH54" s="45">
        <v>562.20000000000005</v>
      </c>
    </row>
    <row r="55" spans="1:34" ht="15" thickBot="1">
      <c r="A55" s="53">
        <v>47</v>
      </c>
      <c r="B55" s="54" t="s">
        <v>74</v>
      </c>
      <c r="C55" s="55">
        <v>259.7</v>
      </c>
      <c r="D55" s="55">
        <v>519.5</v>
      </c>
      <c r="E55" s="56">
        <v>288.7</v>
      </c>
      <c r="F55" s="57">
        <v>684.6</v>
      </c>
      <c r="G55" s="56">
        <v>231.1</v>
      </c>
      <c r="H55" s="57">
        <v>435.3</v>
      </c>
      <c r="I55" s="55">
        <v>476.2</v>
      </c>
      <c r="J55" s="55">
        <v>1611.9</v>
      </c>
      <c r="K55" s="58">
        <v>287.7</v>
      </c>
      <c r="L55" s="59">
        <v>661.8</v>
      </c>
      <c r="M55" s="60">
        <v>267.89999999999998</v>
      </c>
      <c r="N55" s="60">
        <v>464.2</v>
      </c>
      <c r="O55" s="56">
        <v>243.6</v>
      </c>
      <c r="P55" s="57">
        <v>578.9</v>
      </c>
      <c r="Q55" s="55">
        <v>355.9</v>
      </c>
      <c r="R55" s="61">
        <v>915.8</v>
      </c>
      <c r="S55" s="62">
        <v>280.8</v>
      </c>
      <c r="T55" s="55">
        <v>580.1</v>
      </c>
      <c r="U55" s="58">
        <v>290.10000000000002</v>
      </c>
      <c r="V55" s="59">
        <v>549</v>
      </c>
      <c r="W55" s="55">
        <v>246</v>
      </c>
      <c r="X55" s="55">
        <v>186.6</v>
      </c>
      <c r="Y55" s="58">
        <v>242.7</v>
      </c>
      <c r="Z55" s="59">
        <v>408.2</v>
      </c>
      <c r="AA55" s="55">
        <v>323.60000000000002</v>
      </c>
      <c r="AB55" s="55">
        <v>852.6</v>
      </c>
      <c r="AC55" s="56">
        <v>267.39999999999998</v>
      </c>
      <c r="AD55" s="57">
        <v>523.1</v>
      </c>
      <c r="AE55" s="58">
        <v>290</v>
      </c>
      <c r="AF55" s="59">
        <v>893.7</v>
      </c>
      <c r="AG55" s="60">
        <v>243.7</v>
      </c>
      <c r="AH55" s="63">
        <v>339</v>
      </c>
    </row>
    <row r="56" spans="1:34">
      <c r="A56" s="100"/>
      <c r="B56" s="101"/>
      <c r="C56" s="102"/>
      <c r="D56" s="102"/>
      <c r="E56" s="103"/>
      <c r="F56" s="103"/>
      <c r="G56" s="103"/>
      <c r="H56" s="103"/>
      <c r="I56" s="102"/>
      <c r="J56" s="102"/>
      <c r="K56" s="102"/>
      <c r="L56" s="102"/>
      <c r="M56" s="103"/>
      <c r="N56" s="103"/>
      <c r="O56" s="103"/>
      <c r="P56" s="103"/>
      <c r="Q56" s="102"/>
      <c r="R56" s="102"/>
      <c r="S56" s="102"/>
      <c r="T56" s="102"/>
      <c r="U56" s="102"/>
      <c r="V56" s="102"/>
      <c r="W56" s="102"/>
      <c r="X56" s="102"/>
      <c r="Y56" s="102"/>
      <c r="Z56" s="102"/>
      <c r="AA56" s="102"/>
      <c r="AB56" s="102"/>
      <c r="AC56" s="103"/>
      <c r="AD56" s="103"/>
      <c r="AE56" s="102"/>
      <c r="AF56" s="102"/>
      <c r="AG56" s="103"/>
      <c r="AH56" s="103"/>
    </row>
    <row r="57" spans="1:34">
      <c r="A57" s="100"/>
      <c r="B57" s="101" t="s">
        <v>78</v>
      </c>
      <c r="C57" s="102"/>
      <c r="D57" s="102"/>
      <c r="E57" s="103"/>
      <c r="F57" s="103"/>
      <c r="G57" s="103"/>
      <c r="H57" s="103"/>
      <c r="I57" s="102"/>
      <c r="J57" s="102"/>
      <c r="K57" s="102"/>
      <c r="L57" s="102"/>
      <c r="M57" s="103"/>
      <c r="N57" s="103"/>
      <c r="O57" s="103"/>
      <c r="P57" s="103"/>
      <c r="Q57" s="102"/>
      <c r="R57" s="102"/>
      <c r="S57" s="102"/>
      <c r="T57" s="102"/>
      <c r="U57" s="102"/>
      <c r="V57" s="102"/>
      <c r="W57" s="102"/>
      <c r="X57" s="102"/>
      <c r="Y57" s="102"/>
      <c r="Z57" s="102"/>
      <c r="AA57" s="102"/>
      <c r="AB57" s="102"/>
      <c r="AC57" s="103"/>
      <c r="AD57" s="103"/>
      <c r="AE57" s="102"/>
      <c r="AF57" s="102"/>
      <c r="AG57" s="103"/>
      <c r="AH57" s="103"/>
    </row>
    <row r="58" spans="1:34">
      <c r="B58" s="114" t="s">
        <v>96</v>
      </c>
      <c r="C58" s="104" t="s">
        <v>79</v>
      </c>
      <c r="D58" s="105" t="s">
        <v>80</v>
      </c>
      <c r="E58" s="105" t="s">
        <v>81</v>
      </c>
      <c r="F58" s="105" t="s">
        <v>82</v>
      </c>
      <c r="G58" s="105" t="s">
        <v>83</v>
      </c>
      <c r="H58" s="105" t="s">
        <v>84</v>
      </c>
      <c r="I58" s="105" t="s">
        <v>85</v>
      </c>
      <c r="J58" s="105" t="s">
        <v>86</v>
      </c>
      <c r="K58" s="105" t="s">
        <v>87</v>
      </c>
      <c r="L58" s="105" t="s">
        <v>88</v>
      </c>
      <c r="M58" s="105" t="s">
        <v>89</v>
      </c>
      <c r="N58" s="105" t="s">
        <v>90</v>
      </c>
      <c r="O58" s="105" t="s">
        <v>91</v>
      </c>
      <c r="P58" s="105" t="s">
        <v>92</v>
      </c>
      <c r="Q58" s="105" t="s">
        <v>93</v>
      </c>
      <c r="R58" s="106" t="s">
        <v>94</v>
      </c>
    </row>
    <row r="59" spans="1:34">
      <c r="B59" s="114" t="s">
        <v>95</v>
      </c>
      <c r="C59" s="107">
        <f>C46*12+D46</f>
        <v>3291.5000000000005</v>
      </c>
      <c r="D59" s="108">
        <f>E46*12+F46</f>
        <v>4173.6000000000004</v>
      </c>
      <c r="E59" s="108">
        <f t="shared" ref="E59" si="0">G46*12+H46</f>
        <v>4268.3999999999996</v>
      </c>
      <c r="F59" s="108">
        <f t="shared" ref="F59" si="1">I46*12+J46</f>
        <v>6003.1</v>
      </c>
      <c r="G59" s="108">
        <f t="shared" ref="G59" si="2">K46*12+L46</f>
        <v>5428.3</v>
      </c>
      <c r="H59" s="108">
        <f t="shared" ref="H59" si="3">M46*12+N46</f>
        <v>3908.4999999999995</v>
      </c>
      <c r="I59" s="108">
        <f t="shared" ref="I59" si="4">O46*12+P46</f>
        <v>4008.4</v>
      </c>
      <c r="J59" s="108">
        <f t="shared" ref="J59" si="5">Q46*12+R46</f>
        <v>5452.2</v>
      </c>
      <c r="K59" s="108">
        <f t="shared" ref="K59" si="6">S46*12+T46</f>
        <v>3840.5</v>
      </c>
      <c r="L59" s="108">
        <f t="shared" ref="L59" si="7">U46*12+V46</f>
        <v>4833.7</v>
      </c>
      <c r="M59" s="108">
        <f t="shared" ref="M59" si="8">W46*12+X46</f>
        <v>2765.7999999999997</v>
      </c>
      <c r="N59" s="108">
        <f t="shared" ref="N59" si="9">Y46*12+Z46</f>
        <v>3563.6</v>
      </c>
      <c r="O59" s="108">
        <f t="shared" ref="O59" si="10">AA46*12+AB46</f>
        <v>5061.7999999999993</v>
      </c>
      <c r="P59" s="108">
        <f t="shared" ref="P59" si="11">AC46*12+AD46</f>
        <v>3902.2999999999997</v>
      </c>
      <c r="Q59" s="108">
        <f t="shared" ref="Q59" si="12">AE46*12+AF46</f>
        <v>4797.8</v>
      </c>
      <c r="R59" s="109">
        <f t="shared" ref="R59" si="13">AG46*12+AH46</f>
        <v>3326.4999999999995</v>
      </c>
      <c r="S59" s="99" t="s">
        <v>98</v>
      </c>
    </row>
    <row r="60" spans="1:34">
      <c r="B60" s="114" t="s">
        <v>97</v>
      </c>
      <c r="C60" s="110">
        <v>166</v>
      </c>
      <c r="D60" s="111">
        <v>42054</v>
      </c>
      <c r="E60" s="111">
        <v>91837</v>
      </c>
      <c r="F60" s="111">
        <v>2966</v>
      </c>
      <c r="G60" s="111">
        <v>8491</v>
      </c>
      <c r="H60" s="111">
        <v>32680</v>
      </c>
      <c r="I60" s="111">
        <v>114249</v>
      </c>
      <c r="J60" s="111">
        <v>15308</v>
      </c>
      <c r="K60" s="111">
        <v>11428</v>
      </c>
      <c r="L60" s="111">
        <v>15345</v>
      </c>
      <c r="M60" s="111">
        <v>44676</v>
      </c>
      <c r="N60" s="111">
        <v>22006</v>
      </c>
      <c r="O60" s="111">
        <v>32238</v>
      </c>
      <c r="P60" s="111">
        <v>108863</v>
      </c>
      <c r="Q60" s="111">
        <v>7097</v>
      </c>
      <c r="R60" s="112">
        <v>40957</v>
      </c>
      <c r="S60" s="99" t="s">
        <v>99</v>
      </c>
    </row>
    <row r="61" spans="1:34">
      <c r="B61" s="114" t="s">
        <v>100</v>
      </c>
      <c r="C61" s="107">
        <f>C59*C60</f>
        <v>546389.00000000012</v>
      </c>
      <c r="D61" s="108">
        <f t="shared" ref="D61:R61" si="14">D59*D60</f>
        <v>175516574.40000001</v>
      </c>
      <c r="E61" s="108">
        <f t="shared" si="14"/>
        <v>391997050.79999995</v>
      </c>
      <c r="F61" s="108">
        <f t="shared" si="14"/>
        <v>17805194.600000001</v>
      </c>
      <c r="G61" s="108">
        <f t="shared" si="14"/>
        <v>46091695.300000004</v>
      </c>
      <c r="H61" s="108">
        <f t="shared" si="14"/>
        <v>127729779.99999999</v>
      </c>
      <c r="I61" s="108">
        <f t="shared" si="14"/>
        <v>457955691.60000002</v>
      </c>
      <c r="J61" s="108">
        <f t="shared" si="14"/>
        <v>83462277.599999994</v>
      </c>
      <c r="K61" s="108">
        <f t="shared" si="14"/>
        <v>43889234</v>
      </c>
      <c r="L61" s="108">
        <f t="shared" si="14"/>
        <v>74173126.5</v>
      </c>
      <c r="M61" s="108">
        <f t="shared" si="14"/>
        <v>123564880.79999998</v>
      </c>
      <c r="N61" s="108">
        <f t="shared" si="14"/>
        <v>78420581.599999994</v>
      </c>
      <c r="O61" s="108">
        <f t="shared" si="14"/>
        <v>163182308.39999998</v>
      </c>
      <c r="P61" s="108">
        <f t="shared" si="14"/>
        <v>424816084.89999998</v>
      </c>
      <c r="Q61" s="108">
        <f t="shared" si="14"/>
        <v>34049986.600000001</v>
      </c>
      <c r="R61" s="109">
        <f t="shared" si="14"/>
        <v>136243460.49999997</v>
      </c>
    </row>
    <row r="63" spans="1:34">
      <c r="B63" s="107"/>
      <c r="C63" s="105" t="s">
        <v>101</v>
      </c>
      <c r="D63" s="105" t="s">
        <v>104</v>
      </c>
      <c r="E63" s="106" t="s">
        <v>105</v>
      </c>
      <c r="L63" s="99"/>
      <c r="M63" s="104"/>
      <c r="N63" s="113"/>
    </row>
    <row r="64" spans="1:34">
      <c r="B64" s="114" t="s">
        <v>102</v>
      </c>
      <c r="C64" s="108">
        <f>SUM(C61:E61)</f>
        <v>568060014.19999993</v>
      </c>
      <c r="D64" s="108">
        <f>N59*I64</f>
        <v>506031.2</v>
      </c>
      <c r="E64" s="109">
        <f>SUM(F61:R61)-D64</f>
        <v>1810878271.2</v>
      </c>
      <c r="F64" s="99" t="s">
        <v>98</v>
      </c>
      <c r="H64" s="99" t="s">
        <v>106</v>
      </c>
      <c r="I64" s="1">
        <v>142</v>
      </c>
      <c r="M64" s="99"/>
      <c r="N64" s="104"/>
      <c r="O64" s="113"/>
    </row>
    <row r="65" spans="2:13">
      <c r="B65" s="114" t="s">
        <v>97</v>
      </c>
      <c r="C65" s="108">
        <f>SUM(C60:E60)</f>
        <v>134057</v>
      </c>
      <c r="D65" s="108">
        <f>I64</f>
        <v>142</v>
      </c>
      <c r="E65" s="115">
        <f>SUM(F60:R60)-D65</f>
        <v>456162</v>
      </c>
      <c r="F65" s="99" t="s">
        <v>99</v>
      </c>
      <c r="L65" s="99"/>
      <c r="M65" s="104"/>
    </row>
    <row r="66" spans="2:13">
      <c r="B66" s="114" t="s">
        <v>107</v>
      </c>
      <c r="C66" s="108">
        <f>C64/C65</f>
        <v>4237.4513393556463</v>
      </c>
      <c r="D66" s="108">
        <f t="shared" ref="D66:E66" si="15">D64/D65</f>
        <v>3563.6</v>
      </c>
      <c r="E66" s="109">
        <f t="shared" si="15"/>
        <v>3969.8139503071279</v>
      </c>
      <c r="F66" s="99" t="s">
        <v>108</v>
      </c>
    </row>
    <row r="67" spans="2:13">
      <c r="B67" s="107"/>
      <c r="C67" s="108"/>
      <c r="D67" s="108"/>
      <c r="E67" s="109"/>
    </row>
    <row r="68" spans="2:13">
      <c r="B68" s="114" t="s">
        <v>97</v>
      </c>
      <c r="C68" s="117">
        <v>141192</v>
      </c>
      <c r="D68" s="117">
        <v>142</v>
      </c>
      <c r="E68" s="118">
        <v>476829</v>
      </c>
      <c r="F68" s="99" t="s">
        <v>109</v>
      </c>
    </row>
    <row r="69" spans="2:13">
      <c r="B69" s="114" t="s">
        <v>102</v>
      </c>
      <c r="C69" s="117">
        <f>C66*C68/1000</f>
        <v>598294.22950630239</v>
      </c>
      <c r="D69" s="117">
        <f t="shared" ref="D69:E69" si="16">D66*D68/1000</f>
        <v>506.03120000000001</v>
      </c>
      <c r="E69" s="118">
        <f t="shared" si="16"/>
        <v>1892922.4161109976</v>
      </c>
      <c r="F69" s="99" t="s">
        <v>110</v>
      </c>
    </row>
    <row r="70" spans="2:13">
      <c r="C70" s="116"/>
    </row>
    <row r="73" spans="2:13">
      <c r="B73" s="99" t="s">
        <v>102</v>
      </c>
      <c r="C73" s="107"/>
      <c r="D73" s="105" t="s">
        <v>111</v>
      </c>
      <c r="E73" s="105" t="s">
        <v>112</v>
      </c>
      <c r="F73" s="106" t="s">
        <v>113</v>
      </c>
      <c r="H73" s="99" t="s">
        <v>97</v>
      </c>
      <c r="I73" s="99" t="s">
        <v>111</v>
      </c>
      <c r="J73" s="99" t="s">
        <v>112</v>
      </c>
      <c r="K73" s="99" t="s">
        <v>113</v>
      </c>
    </row>
    <row r="74" spans="2:13">
      <c r="C74" s="104" t="s">
        <v>101</v>
      </c>
      <c r="D74" s="119">
        <f>$F74*I74/$K74</f>
        <v>133797.52604015454</v>
      </c>
      <c r="E74" s="119">
        <f>$F74*J74/$K74</f>
        <v>89558.534057281591</v>
      </c>
      <c r="F74" s="118">
        <v>598294.22950630239</v>
      </c>
      <c r="G74" s="99"/>
      <c r="I74" s="116">
        <v>31575</v>
      </c>
      <c r="J74" s="116">
        <v>21135</v>
      </c>
      <c r="K74" s="1">
        <v>141192</v>
      </c>
    </row>
    <row r="75" spans="2:13">
      <c r="C75" s="104" t="s">
        <v>103</v>
      </c>
      <c r="D75" s="119">
        <f>$F75*I75/$K75</f>
        <v>210.25240000000002</v>
      </c>
      <c r="E75" s="119">
        <f t="shared" ref="D75:E76" si="17">$F75*J75/$K75</f>
        <v>106.908</v>
      </c>
      <c r="F75" s="118">
        <v>506.03120000000001</v>
      </c>
      <c r="I75" s="116">
        <v>59</v>
      </c>
      <c r="J75" s="116">
        <v>30</v>
      </c>
      <c r="K75" s="1">
        <v>142</v>
      </c>
    </row>
    <row r="76" spans="2:13">
      <c r="C76" s="104" t="s">
        <v>105</v>
      </c>
      <c r="D76" s="119">
        <f t="shared" si="17"/>
        <v>822767.76008485409</v>
      </c>
      <c r="E76" s="119">
        <f t="shared" si="17"/>
        <v>203564.11974384892</v>
      </c>
      <c r="F76" s="118">
        <v>1892922.4161109976</v>
      </c>
      <c r="I76" s="116">
        <v>207256</v>
      </c>
      <c r="J76" s="116">
        <v>51278</v>
      </c>
      <c r="K76" s="1">
        <v>476829</v>
      </c>
    </row>
    <row r="77" spans="2:13">
      <c r="H77" s="116"/>
      <c r="I77" s="116"/>
    </row>
  </sheetData>
  <mergeCells count="19">
    <mergeCell ref="A2:B2"/>
    <mergeCell ref="A4:B6"/>
    <mergeCell ref="C4:D4"/>
    <mergeCell ref="E4:F4"/>
    <mergeCell ref="G4:H4"/>
    <mergeCell ref="AE4:AF4"/>
    <mergeCell ref="AG4:AH4"/>
    <mergeCell ref="K4:L4"/>
    <mergeCell ref="M4:N4"/>
    <mergeCell ref="O4:P4"/>
    <mergeCell ref="Q4:R4"/>
    <mergeCell ref="S4:T4"/>
    <mergeCell ref="U4:V4"/>
    <mergeCell ref="A8:B8"/>
    <mergeCell ref="W4:X4"/>
    <mergeCell ref="Y4:Z4"/>
    <mergeCell ref="AA4:AB4"/>
    <mergeCell ref="AC4:AD4"/>
    <mergeCell ref="I4:J4"/>
  </mergeCells>
  <phoneticPr fontId="2"/>
  <printOptions horizontalCentered="1"/>
  <pageMargins left="0.34" right="0.16" top="0.98425196850393704" bottom="0.98425196850393704" header="0.51181102362204722" footer="0.51181102362204722"/>
  <pageSetup paperSize="9" scale="70" orientation="portrait" r:id="rId1"/>
  <headerFooter alignWithMargins="0"/>
  <colBreaks count="1" manualBreakCount="1">
    <brk id="18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F2254-17B3-499E-9D4A-38273B4DF656}">
  <sheetPr codeName="Sheet11"/>
  <dimension ref="A1:AH56"/>
  <sheetViews>
    <sheetView showGridLines="0" view="pageBreakPreview" zoomScaleNormal="100" zoomScaleSheetLayoutView="100" workbookViewId="0">
      <pane xSplit="2" ySplit="7" topLeftCell="C8" activePane="bottomRight" state="frozen"/>
      <selection pane="topRight"/>
      <selection pane="bottomLeft"/>
      <selection pane="bottomRight"/>
    </sheetView>
  </sheetViews>
  <sheetFormatPr baseColWidth="10" defaultColWidth="9" defaultRowHeight="14"/>
  <cols>
    <col min="1" max="1" width="3.83203125" style="1" customWidth="1"/>
    <col min="2" max="2" width="8.1640625" style="1" customWidth="1"/>
    <col min="3" max="34" width="7.6640625" style="1" customWidth="1"/>
    <col min="35" max="16384" width="9" style="1"/>
  </cols>
  <sheetData>
    <row r="1" spans="1:34">
      <c r="C1" t="s">
        <v>0</v>
      </c>
      <c r="S1" t="s">
        <v>0</v>
      </c>
    </row>
    <row r="2" spans="1:34" s="3" customFormat="1" ht="24.75" customHeight="1">
      <c r="A2" s="90" t="s">
        <v>1</v>
      </c>
      <c r="B2" s="90"/>
      <c r="C2" s="2" t="s">
        <v>75</v>
      </c>
      <c r="E2" s="4"/>
      <c r="S2" s="2" t="s">
        <v>76</v>
      </c>
      <c r="AA2" s="4"/>
    </row>
    <row r="3" spans="1:34" ht="15" thickBot="1">
      <c r="B3" s="5"/>
      <c r="C3" s="5"/>
      <c r="D3" s="5"/>
      <c r="R3" s="6" t="s">
        <v>3</v>
      </c>
      <c r="AD3" s="6"/>
      <c r="AE3" s="6"/>
      <c r="AF3" s="6"/>
      <c r="AH3" s="6" t="s">
        <v>3</v>
      </c>
    </row>
    <row r="4" spans="1:34" ht="28.5" customHeight="1">
      <c r="A4" s="91" t="s">
        <v>4</v>
      </c>
      <c r="B4" s="92"/>
      <c r="C4" s="97" t="s">
        <v>5</v>
      </c>
      <c r="D4" s="89"/>
      <c r="E4" s="85" t="s">
        <v>6</v>
      </c>
      <c r="F4" s="85"/>
      <c r="G4" s="83" t="s">
        <v>7</v>
      </c>
      <c r="H4" s="84"/>
      <c r="I4" s="79" t="s">
        <v>8</v>
      </c>
      <c r="J4" s="78"/>
      <c r="K4" s="83" t="s">
        <v>9</v>
      </c>
      <c r="L4" s="84"/>
      <c r="M4" s="79" t="s">
        <v>10</v>
      </c>
      <c r="N4" s="84"/>
      <c r="O4" s="78" t="s">
        <v>11</v>
      </c>
      <c r="P4" s="84"/>
      <c r="Q4" s="79" t="s">
        <v>12</v>
      </c>
      <c r="R4" s="86"/>
      <c r="S4" s="78" t="s">
        <v>13</v>
      </c>
      <c r="T4" s="80"/>
      <c r="U4" s="98" t="s">
        <v>14</v>
      </c>
      <c r="V4" s="98"/>
      <c r="W4" s="79" t="s">
        <v>15</v>
      </c>
      <c r="X4" s="80"/>
      <c r="Y4" s="79" t="s">
        <v>16</v>
      </c>
      <c r="Z4" s="80"/>
      <c r="AA4" s="78" t="s">
        <v>17</v>
      </c>
      <c r="AB4" s="80"/>
      <c r="AC4" s="79" t="s">
        <v>18</v>
      </c>
      <c r="AD4" s="80"/>
      <c r="AE4" s="79" t="s">
        <v>19</v>
      </c>
      <c r="AF4" s="80"/>
      <c r="AG4" s="81" t="s">
        <v>20</v>
      </c>
      <c r="AH4" s="82"/>
    </row>
    <row r="5" spans="1:34" s="18" customFormat="1">
      <c r="A5" s="93"/>
      <c r="B5" s="94"/>
      <c r="C5" s="7" t="s">
        <v>21</v>
      </c>
      <c r="D5" s="12" t="s">
        <v>22</v>
      </c>
      <c r="E5" s="11" t="s">
        <v>21</v>
      </c>
      <c r="F5" s="13" t="s">
        <v>22</v>
      </c>
      <c r="G5" s="9" t="s">
        <v>21</v>
      </c>
      <c r="H5" s="10" t="s">
        <v>22</v>
      </c>
      <c r="I5" s="11" t="s">
        <v>21</v>
      </c>
      <c r="J5" s="8" t="s">
        <v>22</v>
      </c>
      <c r="K5" s="9" t="s">
        <v>21</v>
      </c>
      <c r="L5" s="12" t="s">
        <v>22</v>
      </c>
      <c r="M5" s="9" t="s">
        <v>21</v>
      </c>
      <c r="N5" s="10" t="s">
        <v>23</v>
      </c>
      <c r="O5" s="11" t="s">
        <v>21</v>
      </c>
      <c r="P5" s="10" t="s">
        <v>22</v>
      </c>
      <c r="Q5" s="14" t="s">
        <v>21</v>
      </c>
      <c r="R5" s="15" t="s">
        <v>22</v>
      </c>
      <c r="S5" s="16" t="s">
        <v>21</v>
      </c>
      <c r="T5" s="12" t="s">
        <v>22</v>
      </c>
      <c r="U5" s="16" t="s">
        <v>21</v>
      </c>
      <c r="V5" s="8" t="s">
        <v>22</v>
      </c>
      <c r="W5" s="14" t="s">
        <v>21</v>
      </c>
      <c r="X5" s="12" t="s">
        <v>22</v>
      </c>
      <c r="Y5" s="14" t="s">
        <v>21</v>
      </c>
      <c r="Z5" s="12" t="s">
        <v>22</v>
      </c>
      <c r="AA5" s="11" t="s">
        <v>21</v>
      </c>
      <c r="AB5" s="13" t="s">
        <v>22</v>
      </c>
      <c r="AC5" s="9" t="s">
        <v>21</v>
      </c>
      <c r="AD5" s="10" t="s">
        <v>22</v>
      </c>
      <c r="AE5" s="14" t="s">
        <v>21</v>
      </c>
      <c r="AF5" s="12" t="s">
        <v>22</v>
      </c>
      <c r="AG5" s="11" t="s">
        <v>21</v>
      </c>
      <c r="AH5" s="17" t="s">
        <v>22</v>
      </c>
    </row>
    <row r="6" spans="1:34" ht="15" thickBot="1">
      <c r="A6" s="95"/>
      <c r="B6" s="96"/>
      <c r="C6" s="19" t="s">
        <v>24</v>
      </c>
      <c r="D6" s="22" t="s">
        <v>25</v>
      </c>
      <c r="E6" s="23" t="s">
        <v>24</v>
      </c>
      <c r="F6" s="20" t="s">
        <v>25</v>
      </c>
      <c r="G6" s="21" t="s">
        <v>24</v>
      </c>
      <c r="H6" s="22" t="s">
        <v>25</v>
      </c>
      <c r="I6" s="23" t="s">
        <v>24</v>
      </c>
      <c r="J6" s="20" t="s">
        <v>25</v>
      </c>
      <c r="K6" s="21" t="s">
        <v>24</v>
      </c>
      <c r="L6" s="22" t="s">
        <v>25</v>
      </c>
      <c r="M6" s="21" t="s">
        <v>24</v>
      </c>
      <c r="N6" s="22" t="s">
        <v>25</v>
      </c>
      <c r="O6" s="23" t="s">
        <v>24</v>
      </c>
      <c r="P6" s="22" t="s">
        <v>25</v>
      </c>
      <c r="Q6" s="21" t="s">
        <v>24</v>
      </c>
      <c r="R6" s="24" t="s">
        <v>25</v>
      </c>
      <c r="S6" s="23" t="s">
        <v>24</v>
      </c>
      <c r="T6" s="22" t="s">
        <v>25</v>
      </c>
      <c r="U6" s="23" t="s">
        <v>24</v>
      </c>
      <c r="V6" s="20" t="s">
        <v>25</v>
      </c>
      <c r="W6" s="21" t="s">
        <v>24</v>
      </c>
      <c r="X6" s="22" t="s">
        <v>25</v>
      </c>
      <c r="Y6" s="21" t="s">
        <v>24</v>
      </c>
      <c r="Z6" s="22" t="s">
        <v>25</v>
      </c>
      <c r="AA6" s="23" t="s">
        <v>24</v>
      </c>
      <c r="AB6" s="20" t="s">
        <v>25</v>
      </c>
      <c r="AC6" s="21" t="s">
        <v>24</v>
      </c>
      <c r="AD6" s="22" t="s">
        <v>25</v>
      </c>
      <c r="AE6" s="21" t="s">
        <v>24</v>
      </c>
      <c r="AF6" s="22" t="s">
        <v>25</v>
      </c>
      <c r="AG6" s="23" t="s">
        <v>24</v>
      </c>
      <c r="AH6" s="24" t="s">
        <v>25</v>
      </c>
    </row>
    <row r="7" spans="1:34" ht="7.5" customHeight="1">
      <c r="A7" s="25"/>
      <c r="B7" s="26"/>
      <c r="C7" s="25"/>
      <c r="D7" s="64"/>
      <c r="E7" s="30"/>
      <c r="F7" s="30"/>
      <c r="G7" s="28"/>
      <c r="H7" s="29"/>
      <c r="I7" s="28"/>
      <c r="J7" s="30"/>
      <c r="K7" s="28"/>
      <c r="L7" s="29"/>
      <c r="M7" s="28"/>
      <c r="N7" s="29"/>
      <c r="O7" s="30"/>
      <c r="P7" s="29"/>
      <c r="Q7" s="28"/>
      <c r="R7" s="33"/>
      <c r="S7" s="30"/>
      <c r="T7" s="29"/>
      <c r="U7" s="30"/>
      <c r="V7" s="30"/>
      <c r="W7" s="28"/>
      <c r="X7" s="29"/>
      <c r="Y7" s="28"/>
      <c r="Z7" s="29"/>
      <c r="AA7" s="30"/>
      <c r="AB7" s="29"/>
      <c r="AC7" s="28"/>
      <c r="AD7" s="29"/>
      <c r="AE7" s="28"/>
      <c r="AF7" s="29"/>
      <c r="AG7" s="30"/>
      <c r="AH7" s="33"/>
    </row>
    <row r="8" spans="1:34" ht="13.5" customHeight="1">
      <c r="A8" s="76" t="s">
        <v>26</v>
      </c>
      <c r="B8" s="77"/>
      <c r="C8" s="41">
        <v>380.1</v>
      </c>
      <c r="D8" s="65">
        <v>1428.7</v>
      </c>
      <c r="E8" s="41">
        <v>365.6</v>
      </c>
      <c r="F8" s="41">
        <v>1091.5</v>
      </c>
      <c r="G8" s="37">
        <v>344</v>
      </c>
      <c r="H8" s="38">
        <v>1250.7</v>
      </c>
      <c r="I8" s="41">
        <v>451.5</v>
      </c>
      <c r="J8" s="66">
        <v>1527.1</v>
      </c>
      <c r="K8" s="67">
        <v>412.3</v>
      </c>
      <c r="L8" s="65">
        <v>1409.4</v>
      </c>
      <c r="M8" s="37">
        <v>312.39999999999998</v>
      </c>
      <c r="N8" s="38">
        <v>716.3</v>
      </c>
      <c r="O8" s="41">
        <v>386.2</v>
      </c>
      <c r="P8" s="38">
        <v>1296</v>
      </c>
      <c r="Q8" s="67">
        <v>514.20000000000005</v>
      </c>
      <c r="R8" s="68">
        <v>1980.5</v>
      </c>
      <c r="S8" s="66">
        <v>416</v>
      </c>
      <c r="T8" s="65">
        <v>1454.4</v>
      </c>
      <c r="U8" s="66">
        <v>435.1</v>
      </c>
      <c r="V8" s="66">
        <v>1552.9</v>
      </c>
      <c r="W8" s="69">
        <v>301</v>
      </c>
      <c r="X8" s="70">
        <v>455.3</v>
      </c>
      <c r="Y8" s="69">
        <v>318.3</v>
      </c>
      <c r="Z8" s="70">
        <v>576.20000000000005</v>
      </c>
      <c r="AA8" s="71">
        <v>433.2</v>
      </c>
      <c r="AB8" s="71">
        <v>1589.6</v>
      </c>
      <c r="AC8" s="37">
        <v>368.5</v>
      </c>
      <c r="AD8" s="38">
        <v>785.2</v>
      </c>
      <c r="AE8" s="69">
        <v>333.7</v>
      </c>
      <c r="AF8" s="70">
        <v>1184.8</v>
      </c>
      <c r="AG8" s="41">
        <v>307.3</v>
      </c>
      <c r="AH8" s="45">
        <v>631</v>
      </c>
    </row>
    <row r="9" spans="1:34" ht="21" customHeight="1">
      <c r="A9" s="46">
        <v>1</v>
      </c>
      <c r="B9" s="47" t="s">
        <v>27</v>
      </c>
      <c r="C9" s="41">
        <v>314.89999999999998</v>
      </c>
      <c r="D9" s="38">
        <v>852.7</v>
      </c>
      <c r="E9" s="41">
        <v>338.1</v>
      </c>
      <c r="F9" s="41">
        <v>886</v>
      </c>
      <c r="G9" s="37">
        <v>296.10000000000002</v>
      </c>
      <c r="H9" s="38">
        <v>1014</v>
      </c>
      <c r="I9" s="41">
        <v>377.3</v>
      </c>
      <c r="J9" s="41">
        <v>1548.1</v>
      </c>
      <c r="K9" s="37">
        <v>346.7</v>
      </c>
      <c r="L9" s="65">
        <v>993.6</v>
      </c>
      <c r="M9" s="37">
        <v>270.8</v>
      </c>
      <c r="N9" s="38">
        <v>541.6</v>
      </c>
      <c r="O9" s="41">
        <v>325.60000000000002</v>
      </c>
      <c r="P9" s="38">
        <v>948.8</v>
      </c>
      <c r="Q9" s="37">
        <v>450.2</v>
      </c>
      <c r="R9" s="45">
        <v>1702.5</v>
      </c>
      <c r="S9" s="41">
        <v>318.7</v>
      </c>
      <c r="T9" s="38">
        <v>909.9</v>
      </c>
      <c r="U9" s="41">
        <v>361.6</v>
      </c>
      <c r="V9" s="41">
        <v>1386.6</v>
      </c>
      <c r="W9" s="37">
        <v>291.5</v>
      </c>
      <c r="X9" s="38">
        <v>436</v>
      </c>
      <c r="Y9" s="37">
        <v>261.10000000000002</v>
      </c>
      <c r="Z9" s="38">
        <v>349.7</v>
      </c>
      <c r="AA9" s="41">
        <v>422.6</v>
      </c>
      <c r="AB9" s="41">
        <v>1303.5999999999999</v>
      </c>
      <c r="AC9" s="37">
        <v>342.4</v>
      </c>
      <c r="AD9" s="38">
        <v>597.9</v>
      </c>
      <c r="AE9" s="37">
        <v>325.3</v>
      </c>
      <c r="AF9" s="38">
        <v>1341.8</v>
      </c>
      <c r="AG9" s="41">
        <v>266.3</v>
      </c>
      <c r="AH9" s="45">
        <v>551.1</v>
      </c>
    </row>
    <row r="10" spans="1:34">
      <c r="A10" s="46">
        <v>2</v>
      </c>
      <c r="B10" s="47" t="s">
        <v>28</v>
      </c>
      <c r="C10" s="41">
        <v>314.8</v>
      </c>
      <c r="D10" s="38">
        <v>1297.0999999999999</v>
      </c>
      <c r="E10" s="41">
        <v>304.8</v>
      </c>
      <c r="F10" s="41">
        <v>916.8</v>
      </c>
      <c r="G10" s="37">
        <v>269.8</v>
      </c>
      <c r="H10" s="38">
        <v>737.3</v>
      </c>
      <c r="I10" s="41">
        <v>436.1</v>
      </c>
      <c r="J10" s="41">
        <v>1571.1</v>
      </c>
      <c r="K10" s="37">
        <v>316.39999999999998</v>
      </c>
      <c r="L10" s="38">
        <v>938.5</v>
      </c>
      <c r="M10" s="37">
        <v>231.4</v>
      </c>
      <c r="N10" s="38">
        <v>446.3</v>
      </c>
      <c r="O10" s="41">
        <v>297.5</v>
      </c>
      <c r="P10" s="38">
        <v>889.7</v>
      </c>
      <c r="Q10" s="37">
        <v>409.9</v>
      </c>
      <c r="R10" s="45">
        <v>1632.6</v>
      </c>
      <c r="S10" s="41">
        <v>309.5</v>
      </c>
      <c r="T10" s="38">
        <v>1076.8</v>
      </c>
      <c r="U10" s="41">
        <v>344.9</v>
      </c>
      <c r="V10" s="41">
        <v>908.7</v>
      </c>
      <c r="W10" s="37">
        <v>249.1</v>
      </c>
      <c r="X10" s="38">
        <v>289.7</v>
      </c>
      <c r="Y10" s="37">
        <v>273.60000000000002</v>
      </c>
      <c r="Z10" s="38">
        <v>502.8</v>
      </c>
      <c r="AA10" s="41">
        <v>387.3</v>
      </c>
      <c r="AB10" s="41">
        <v>990.5</v>
      </c>
      <c r="AC10" s="37">
        <v>327.60000000000002</v>
      </c>
      <c r="AD10" s="38">
        <v>679.1</v>
      </c>
      <c r="AE10" s="37">
        <v>279.89999999999998</v>
      </c>
      <c r="AF10" s="38">
        <v>909.2</v>
      </c>
      <c r="AG10" s="41">
        <v>238.5</v>
      </c>
      <c r="AH10" s="45">
        <v>494.8</v>
      </c>
    </row>
    <row r="11" spans="1:34">
      <c r="A11" s="46">
        <v>3</v>
      </c>
      <c r="B11" s="47" t="s">
        <v>29</v>
      </c>
      <c r="C11" s="41">
        <v>276.8</v>
      </c>
      <c r="D11" s="38">
        <v>822</v>
      </c>
      <c r="E11" s="41">
        <v>309.8</v>
      </c>
      <c r="F11" s="41">
        <v>940.5</v>
      </c>
      <c r="G11" s="37">
        <v>286.10000000000002</v>
      </c>
      <c r="H11" s="38">
        <v>976.9</v>
      </c>
      <c r="I11" s="41">
        <v>453.7</v>
      </c>
      <c r="J11" s="41">
        <v>1734.9</v>
      </c>
      <c r="K11" s="37">
        <v>356.8</v>
      </c>
      <c r="L11" s="38">
        <v>1334.2</v>
      </c>
      <c r="M11" s="37">
        <v>276.7</v>
      </c>
      <c r="N11" s="38">
        <v>458</v>
      </c>
      <c r="O11" s="41">
        <v>282.10000000000002</v>
      </c>
      <c r="P11" s="38">
        <v>844.4</v>
      </c>
      <c r="Q11" s="37">
        <v>416.9</v>
      </c>
      <c r="R11" s="45">
        <v>1678.1</v>
      </c>
      <c r="S11" s="41">
        <v>326</v>
      </c>
      <c r="T11" s="38">
        <v>945.7</v>
      </c>
      <c r="U11" s="41">
        <v>337.2</v>
      </c>
      <c r="V11" s="41">
        <v>1215.9000000000001</v>
      </c>
      <c r="W11" s="37">
        <v>246.3</v>
      </c>
      <c r="X11" s="38">
        <v>340.3</v>
      </c>
      <c r="Y11" s="37">
        <v>243.8</v>
      </c>
      <c r="Z11" s="38">
        <v>317.39999999999998</v>
      </c>
      <c r="AA11" s="41">
        <v>332.8</v>
      </c>
      <c r="AB11" s="41">
        <v>935.3</v>
      </c>
      <c r="AC11" s="37">
        <v>314.39999999999998</v>
      </c>
      <c r="AD11" s="38">
        <v>838.1</v>
      </c>
      <c r="AE11" s="37">
        <v>312.7</v>
      </c>
      <c r="AF11" s="38">
        <v>874.1</v>
      </c>
      <c r="AG11" s="41">
        <v>253.4</v>
      </c>
      <c r="AH11" s="45">
        <v>460.4</v>
      </c>
    </row>
    <row r="12" spans="1:34">
      <c r="A12" s="46">
        <v>4</v>
      </c>
      <c r="B12" s="47" t="s">
        <v>30</v>
      </c>
      <c r="C12" s="41">
        <v>279.89999999999998</v>
      </c>
      <c r="D12" s="38">
        <v>1620.2</v>
      </c>
      <c r="E12" s="41">
        <v>364.9</v>
      </c>
      <c r="F12" s="41">
        <v>1207.7</v>
      </c>
      <c r="G12" s="37">
        <v>313.2</v>
      </c>
      <c r="H12" s="38">
        <v>1040.4000000000001</v>
      </c>
      <c r="I12" s="41">
        <v>516.20000000000005</v>
      </c>
      <c r="J12" s="41">
        <v>1935.6</v>
      </c>
      <c r="K12" s="37">
        <v>351.7</v>
      </c>
      <c r="L12" s="38">
        <v>1289.5999999999999</v>
      </c>
      <c r="M12" s="37">
        <v>276.60000000000002</v>
      </c>
      <c r="N12" s="38">
        <v>618.4</v>
      </c>
      <c r="O12" s="41">
        <v>347.6</v>
      </c>
      <c r="P12" s="38">
        <v>1165.2</v>
      </c>
      <c r="Q12" s="37">
        <v>430.2</v>
      </c>
      <c r="R12" s="45">
        <v>1810.8</v>
      </c>
      <c r="S12" s="41">
        <v>355.1</v>
      </c>
      <c r="T12" s="38">
        <v>1308.7</v>
      </c>
      <c r="U12" s="41">
        <v>433.4</v>
      </c>
      <c r="V12" s="41">
        <v>1612.1</v>
      </c>
      <c r="W12" s="37">
        <v>271.39999999999998</v>
      </c>
      <c r="X12" s="38">
        <v>347</v>
      </c>
      <c r="Y12" s="37">
        <v>275.5</v>
      </c>
      <c r="Z12" s="38">
        <v>349.4</v>
      </c>
      <c r="AA12" s="41">
        <v>410.4</v>
      </c>
      <c r="AB12" s="41">
        <v>1413.5</v>
      </c>
      <c r="AC12" s="37">
        <v>344.2</v>
      </c>
      <c r="AD12" s="38">
        <v>721.4</v>
      </c>
      <c r="AE12" s="37">
        <v>329.5</v>
      </c>
      <c r="AF12" s="38">
        <v>1080.2</v>
      </c>
      <c r="AG12" s="41">
        <v>274.7</v>
      </c>
      <c r="AH12" s="45">
        <v>573.4</v>
      </c>
    </row>
    <row r="13" spans="1:34">
      <c r="A13" s="51">
        <v>5</v>
      </c>
      <c r="B13" s="52" t="s">
        <v>31</v>
      </c>
      <c r="C13" s="41">
        <v>281.7</v>
      </c>
      <c r="D13" s="38">
        <v>843.1</v>
      </c>
      <c r="E13" s="41">
        <v>291</v>
      </c>
      <c r="F13" s="41">
        <v>636.20000000000005</v>
      </c>
      <c r="G13" s="37">
        <v>270.39999999999998</v>
      </c>
      <c r="H13" s="38">
        <v>801.4</v>
      </c>
      <c r="I13" s="41">
        <v>413.6</v>
      </c>
      <c r="J13" s="41">
        <v>1498.1</v>
      </c>
      <c r="K13" s="37">
        <v>337.7</v>
      </c>
      <c r="L13" s="38">
        <v>1063.7</v>
      </c>
      <c r="M13" s="37">
        <v>255</v>
      </c>
      <c r="N13" s="38">
        <v>740</v>
      </c>
      <c r="O13" s="41">
        <v>277.60000000000002</v>
      </c>
      <c r="P13" s="38">
        <v>722.7</v>
      </c>
      <c r="Q13" s="37">
        <v>414.3</v>
      </c>
      <c r="R13" s="45">
        <v>1407.5</v>
      </c>
      <c r="S13" s="41">
        <v>312.3</v>
      </c>
      <c r="T13" s="38">
        <v>795.9</v>
      </c>
      <c r="U13" s="41">
        <v>353.7</v>
      </c>
      <c r="V13" s="41">
        <v>1407.9</v>
      </c>
      <c r="W13" s="37">
        <v>241.3</v>
      </c>
      <c r="X13" s="38">
        <v>201.6</v>
      </c>
      <c r="Y13" s="37">
        <v>264.2</v>
      </c>
      <c r="Z13" s="38">
        <v>433.2</v>
      </c>
      <c r="AA13" s="41">
        <v>410.4</v>
      </c>
      <c r="AB13" s="41">
        <v>965.2</v>
      </c>
      <c r="AC13" s="37">
        <v>347.5</v>
      </c>
      <c r="AD13" s="38">
        <v>684.4</v>
      </c>
      <c r="AE13" s="37">
        <v>307.2</v>
      </c>
      <c r="AF13" s="38">
        <v>798.3</v>
      </c>
      <c r="AG13" s="41">
        <v>242.5</v>
      </c>
      <c r="AH13" s="45">
        <v>517.5</v>
      </c>
    </row>
    <row r="14" spans="1:34" ht="21" customHeight="1">
      <c r="A14" s="46">
        <v>6</v>
      </c>
      <c r="B14" s="47" t="s">
        <v>32</v>
      </c>
      <c r="C14" s="41">
        <v>293.10000000000002</v>
      </c>
      <c r="D14" s="38">
        <v>636.70000000000005</v>
      </c>
      <c r="E14" s="41">
        <v>306.60000000000002</v>
      </c>
      <c r="F14" s="41">
        <v>759.3</v>
      </c>
      <c r="G14" s="37">
        <v>293.60000000000002</v>
      </c>
      <c r="H14" s="38">
        <v>988.3</v>
      </c>
      <c r="I14" s="41">
        <v>402.2</v>
      </c>
      <c r="J14" s="41">
        <v>1426.2</v>
      </c>
      <c r="K14" s="37">
        <v>339.8</v>
      </c>
      <c r="L14" s="38">
        <v>1263.9000000000001</v>
      </c>
      <c r="M14" s="37">
        <v>265.60000000000002</v>
      </c>
      <c r="N14" s="38">
        <v>440.6</v>
      </c>
      <c r="O14" s="41">
        <v>287.89999999999998</v>
      </c>
      <c r="P14" s="38">
        <v>833.9</v>
      </c>
      <c r="Q14" s="37">
        <v>409.9</v>
      </c>
      <c r="R14" s="45">
        <v>1624.6</v>
      </c>
      <c r="S14" s="41">
        <v>293.2</v>
      </c>
      <c r="T14" s="38">
        <v>674.5</v>
      </c>
      <c r="U14" s="41">
        <v>333.8</v>
      </c>
      <c r="V14" s="41">
        <v>984.4</v>
      </c>
      <c r="W14" s="37">
        <v>255.2</v>
      </c>
      <c r="X14" s="38">
        <v>289.8</v>
      </c>
      <c r="Y14" s="37">
        <v>277.2</v>
      </c>
      <c r="Z14" s="38">
        <v>462</v>
      </c>
      <c r="AA14" s="41">
        <v>353.6</v>
      </c>
      <c r="AB14" s="41">
        <v>1182.2</v>
      </c>
      <c r="AC14" s="37">
        <v>371</v>
      </c>
      <c r="AD14" s="38">
        <v>1006.7</v>
      </c>
      <c r="AE14" s="37">
        <v>308.5</v>
      </c>
      <c r="AF14" s="38">
        <v>1000.5</v>
      </c>
      <c r="AG14" s="41">
        <v>249.8</v>
      </c>
      <c r="AH14" s="45">
        <v>480.1</v>
      </c>
    </row>
    <row r="15" spans="1:34">
      <c r="A15" s="46">
        <v>7</v>
      </c>
      <c r="B15" s="47" t="s">
        <v>33</v>
      </c>
      <c r="C15" s="41">
        <v>277.5</v>
      </c>
      <c r="D15" s="38">
        <v>746.2</v>
      </c>
      <c r="E15" s="41">
        <v>307.60000000000002</v>
      </c>
      <c r="F15" s="41">
        <v>651.4</v>
      </c>
      <c r="G15" s="37">
        <v>304.3</v>
      </c>
      <c r="H15" s="38">
        <v>1067.9000000000001</v>
      </c>
      <c r="I15" s="41">
        <v>460.8</v>
      </c>
      <c r="J15" s="41">
        <v>1338.8</v>
      </c>
      <c r="K15" s="37">
        <v>366.7</v>
      </c>
      <c r="L15" s="38">
        <v>1338.4</v>
      </c>
      <c r="M15" s="37">
        <v>261.39999999999998</v>
      </c>
      <c r="N15" s="38">
        <v>389.3</v>
      </c>
      <c r="O15" s="41">
        <v>287.10000000000002</v>
      </c>
      <c r="P15" s="38">
        <v>723.1</v>
      </c>
      <c r="Q15" s="37">
        <v>422.6</v>
      </c>
      <c r="R15" s="45">
        <v>1699.3</v>
      </c>
      <c r="S15" s="41">
        <v>321.60000000000002</v>
      </c>
      <c r="T15" s="38">
        <v>870.6</v>
      </c>
      <c r="U15" s="41">
        <v>345.4</v>
      </c>
      <c r="V15" s="41">
        <v>1269.5</v>
      </c>
      <c r="W15" s="37">
        <v>254.8</v>
      </c>
      <c r="X15" s="38">
        <v>243.3</v>
      </c>
      <c r="Y15" s="37">
        <v>298.5</v>
      </c>
      <c r="Z15" s="38">
        <v>534.20000000000005</v>
      </c>
      <c r="AA15" s="41">
        <v>396.7</v>
      </c>
      <c r="AB15" s="41">
        <v>1211.2</v>
      </c>
      <c r="AC15" s="37">
        <v>360.4</v>
      </c>
      <c r="AD15" s="38">
        <v>669.9</v>
      </c>
      <c r="AE15" s="37">
        <v>307.10000000000002</v>
      </c>
      <c r="AF15" s="38">
        <v>942.3</v>
      </c>
      <c r="AG15" s="41">
        <v>278.3</v>
      </c>
      <c r="AH15" s="45">
        <v>516</v>
      </c>
    </row>
    <row r="16" spans="1:34">
      <c r="A16" s="46">
        <v>8</v>
      </c>
      <c r="B16" s="47" t="s">
        <v>34</v>
      </c>
      <c r="C16" s="41">
        <v>358.4</v>
      </c>
      <c r="D16" s="38">
        <v>878.6</v>
      </c>
      <c r="E16" s="41">
        <v>356.6</v>
      </c>
      <c r="F16" s="41">
        <v>692.6</v>
      </c>
      <c r="G16" s="37">
        <v>340.8</v>
      </c>
      <c r="H16" s="38">
        <v>1355.2</v>
      </c>
      <c r="I16" s="41">
        <v>458.4</v>
      </c>
      <c r="J16" s="41">
        <v>977.6</v>
      </c>
      <c r="K16" s="37">
        <v>359</v>
      </c>
      <c r="L16" s="38">
        <v>1443.2</v>
      </c>
      <c r="M16" s="37">
        <v>306.7</v>
      </c>
      <c r="N16" s="38">
        <v>497.9</v>
      </c>
      <c r="O16" s="41">
        <v>344.7</v>
      </c>
      <c r="P16" s="38">
        <v>1001.4</v>
      </c>
      <c r="Q16" s="37">
        <v>451.9</v>
      </c>
      <c r="R16" s="45">
        <v>1654</v>
      </c>
      <c r="S16" s="41">
        <v>324.8</v>
      </c>
      <c r="T16" s="38">
        <v>952.4</v>
      </c>
      <c r="U16" s="41">
        <v>442.4</v>
      </c>
      <c r="V16" s="41">
        <v>1854</v>
      </c>
      <c r="W16" s="37">
        <v>273.2</v>
      </c>
      <c r="X16" s="38">
        <v>389.1</v>
      </c>
      <c r="Y16" s="37">
        <v>307</v>
      </c>
      <c r="Z16" s="38">
        <v>572.20000000000005</v>
      </c>
      <c r="AA16" s="41">
        <v>454.1</v>
      </c>
      <c r="AB16" s="41">
        <v>1681.1</v>
      </c>
      <c r="AC16" s="37">
        <v>344.2</v>
      </c>
      <c r="AD16" s="38">
        <v>717.5</v>
      </c>
      <c r="AE16" s="37">
        <v>331.8</v>
      </c>
      <c r="AF16" s="38">
        <v>1085.5999999999999</v>
      </c>
      <c r="AG16" s="41">
        <v>278.10000000000002</v>
      </c>
      <c r="AH16" s="45">
        <v>624</v>
      </c>
    </row>
    <row r="17" spans="1:34">
      <c r="A17" s="46">
        <v>9</v>
      </c>
      <c r="B17" s="47" t="s">
        <v>35</v>
      </c>
      <c r="C17" s="41">
        <v>362</v>
      </c>
      <c r="D17" s="38">
        <v>1419.2</v>
      </c>
      <c r="E17" s="41">
        <v>352.8</v>
      </c>
      <c r="F17" s="41">
        <v>970.1</v>
      </c>
      <c r="G17" s="37">
        <v>343.7</v>
      </c>
      <c r="H17" s="38">
        <v>1205.7</v>
      </c>
      <c r="I17" s="41">
        <v>480.6</v>
      </c>
      <c r="J17" s="41">
        <v>540.29999999999995</v>
      </c>
      <c r="K17" s="37">
        <v>354.3</v>
      </c>
      <c r="L17" s="38">
        <v>1260.8</v>
      </c>
      <c r="M17" s="37">
        <v>312.3</v>
      </c>
      <c r="N17" s="38">
        <v>812.2</v>
      </c>
      <c r="O17" s="41">
        <v>332.4</v>
      </c>
      <c r="P17" s="38">
        <v>896.8</v>
      </c>
      <c r="Q17" s="37">
        <v>442.5</v>
      </c>
      <c r="R17" s="45">
        <v>1770.3</v>
      </c>
      <c r="S17" s="41">
        <v>315.5</v>
      </c>
      <c r="T17" s="38">
        <v>1008.4</v>
      </c>
      <c r="U17" s="41">
        <v>415.5</v>
      </c>
      <c r="V17" s="41">
        <v>609.4</v>
      </c>
      <c r="W17" s="37">
        <v>297.5</v>
      </c>
      <c r="X17" s="38">
        <v>433.5</v>
      </c>
      <c r="Y17" s="37">
        <v>295.2</v>
      </c>
      <c r="Z17" s="38">
        <v>405.3</v>
      </c>
      <c r="AA17" s="41">
        <v>391.5</v>
      </c>
      <c r="AB17" s="41">
        <v>1074.2</v>
      </c>
      <c r="AC17" s="37">
        <v>338.8</v>
      </c>
      <c r="AD17" s="38">
        <v>848.9</v>
      </c>
      <c r="AE17" s="37">
        <v>333.9</v>
      </c>
      <c r="AF17" s="38">
        <v>1137.5999999999999</v>
      </c>
      <c r="AG17" s="41">
        <v>282.10000000000002</v>
      </c>
      <c r="AH17" s="45">
        <v>567.4</v>
      </c>
    </row>
    <row r="18" spans="1:34">
      <c r="A18" s="51">
        <v>10</v>
      </c>
      <c r="B18" s="52" t="s">
        <v>36</v>
      </c>
      <c r="C18" s="41">
        <v>335.4</v>
      </c>
      <c r="D18" s="38">
        <v>962</v>
      </c>
      <c r="E18" s="41">
        <v>359.5</v>
      </c>
      <c r="F18" s="41">
        <v>917.8</v>
      </c>
      <c r="G18" s="37">
        <v>318.60000000000002</v>
      </c>
      <c r="H18" s="38">
        <v>1125.5</v>
      </c>
      <c r="I18" s="41">
        <v>436.1</v>
      </c>
      <c r="J18" s="41">
        <v>361.7</v>
      </c>
      <c r="K18" s="37">
        <v>347.9</v>
      </c>
      <c r="L18" s="38">
        <v>1460.4</v>
      </c>
      <c r="M18" s="37">
        <v>304.89999999999998</v>
      </c>
      <c r="N18" s="38">
        <v>586.1</v>
      </c>
      <c r="O18" s="41">
        <v>347.6</v>
      </c>
      <c r="P18" s="38">
        <v>1190.9000000000001</v>
      </c>
      <c r="Q18" s="37">
        <v>516.29999999999995</v>
      </c>
      <c r="R18" s="45">
        <v>1509.5</v>
      </c>
      <c r="S18" s="41">
        <v>335.1</v>
      </c>
      <c r="T18" s="38">
        <v>1029.2</v>
      </c>
      <c r="U18" s="41">
        <v>378.3</v>
      </c>
      <c r="V18" s="41">
        <v>1642.8</v>
      </c>
      <c r="W18" s="37">
        <v>277.39999999999998</v>
      </c>
      <c r="X18" s="38">
        <v>329.3</v>
      </c>
      <c r="Y18" s="37">
        <v>284</v>
      </c>
      <c r="Z18" s="38">
        <v>484.2</v>
      </c>
      <c r="AA18" s="41">
        <v>381.6</v>
      </c>
      <c r="AB18" s="41">
        <v>1299.8</v>
      </c>
      <c r="AC18" s="37">
        <v>391.2</v>
      </c>
      <c r="AD18" s="38">
        <v>756.6</v>
      </c>
      <c r="AE18" s="37">
        <v>327.3</v>
      </c>
      <c r="AF18" s="38">
        <v>1181.2</v>
      </c>
      <c r="AG18" s="41">
        <v>265.3</v>
      </c>
      <c r="AH18" s="45">
        <v>423.7</v>
      </c>
    </row>
    <row r="19" spans="1:34" ht="21" customHeight="1">
      <c r="A19" s="46">
        <v>11</v>
      </c>
      <c r="B19" s="47" t="s">
        <v>37</v>
      </c>
      <c r="C19" s="41">
        <v>354.1</v>
      </c>
      <c r="D19" s="38">
        <v>1240.7</v>
      </c>
      <c r="E19" s="41">
        <v>370.5</v>
      </c>
      <c r="F19" s="41">
        <v>987.4</v>
      </c>
      <c r="G19" s="37">
        <v>353.9</v>
      </c>
      <c r="H19" s="38">
        <v>1134.4000000000001</v>
      </c>
      <c r="I19" s="41">
        <v>416.6</v>
      </c>
      <c r="J19" s="41">
        <v>758.1</v>
      </c>
      <c r="K19" s="37">
        <v>377.6</v>
      </c>
      <c r="L19" s="38">
        <v>1399.1</v>
      </c>
      <c r="M19" s="37">
        <v>316.5</v>
      </c>
      <c r="N19" s="38">
        <v>659.6</v>
      </c>
      <c r="O19" s="41">
        <v>362.9</v>
      </c>
      <c r="P19" s="38">
        <v>1182.9000000000001</v>
      </c>
      <c r="Q19" s="37">
        <v>457.7</v>
      </c>
      <c r="R19" s="45">
        <v>2108.5</v>
      </c>
      <c r="S19" s="41">
        <v>357.3</v>
      </c>
      <c r="T19" s="38">
        <v>958.9</v>
      </c>
      <c r="U19" s="41">
        <v>425.8</v>
      </c>
      <c r="V19" s="41">
        <v>2118.8000000000002</v>
      </c>
      <c r="W19" s="37">
        <v>294.89999999999998</v>
      </c>
      <c r="X19" s="38">
        <v>429.8</v>
      </c>
      <c r="Y19" s="37">
        <v>310.8</v>
      </c>
      <c r="Z19" s="38">
        <v>492.6</v>
      </c>
      <c r="AA19" s="41">
        <v>403.2</v>
      </c>
      <c r="AB19" s="41">
        <v>1247.5999999999999</v>
      </c>
      <c r="AC19" s="37">
        <v>350.9</v>
      </c>
      <c r="AD19" s="38">
        <v>593</v>
      </c>
      <c r="AE19" s="37">
        <v>373.2</v>
      </c>
      <c r="AF19" s="38">
        <v>1443.8</v>
      </c>
      <c r="AG19" s="41">
        <v>300.2</v>
      </c>
      <c r="AH19" s="45">
        <v>570.9</v>
      </c>
    </row>
    <row r="20" spans="1:34">
      <c r="A20" s="46">
        <v>12</v>
      </c>
      <c r="B20" s="47" t="s">
        <v>38</v>
      </c>
      <c r="C20" s="41">
        <v>335.9</v>
      </c>
      <c r="D20" s="38">
        <v>1128.4000000000001</v>
      </c>
      <c r="E20" s="41">
        <v>370.8</v>
      </c>
      <c r="F20" s="41">
        <v>1022.4</v>
      </c>
      <c r="G20" s="37">
        <v>340</v>
      </c>
      <c r="H20" s="38">
        <v>1052</v>
      </c>
      <c r="I20" s="41">
        <v>430.6</v>
      </c>
      <c r="J20" s="41">
        <v>1274.9000000000001</v>
      </c>
      <c r="K20" s="37">
        <v>421.7</v>
      </c>
      <c r="L20" s="38">
        <v>1792.6</v>
      </c>
      <c r="M20" s="37">
        <v>330.3</v>
      </c>
      <c r="N20" s="38">
        <v>767.7</v>
      </c>
      <c r="O20" s="41">
        <v>344.9</v>
      </c>
      <c r="P20" s="38">
        <v>1022.8</v>
      </c>
      <c r="Q20" s="37">
        <v>575.79999999999995</v>
      </c>
      <c r="R20" s="45">
        <v>1321</v>
      </c>
      <c r="S20" s="41">
        <v>368.1</v>
      </c>
      <c r="T20" s="38">
        <v>1232.5</v>
      </c>
      <c r="U20" s="41">
        <v>406.9</v>
      </c>
      <c r="V20" s="41">
        <v>1743</v>
      </c>
      <c r="W20" s="37">
        <v>308</v>
      </c>
      <c r="X20" s="38">
        <v>443.4</v>
      </c>
      <c r="Y20" s="37">
        <v>326.10000000000002</v>
      </c>
      <c r="Z20" s="38">
        <v>651.5</v>
      </c>
      <c r="AA20" s="41">
        <v>446.6</v>
      </c>
      <c r="AB20" s="41">
        <v>1558.7</v>
      </c>
      <c r="AC20" s="37">
        <v>371.8</v>
      </c>
      <c r="AD20" s="38">
        <v>749</v>
      </c>
      <c r="AE20" s="37">
        <v>334.8</v>
      </c>
      <c r="AF20" s="38">
        <v>1034.5</v>
      </c>
      <c r="AG20" s="41">
        <v>309.8</v>
      </c>
      <c r="AH20" s="45">
        <v>693.3</v>
      </c>
    </row>
    <row r="21" spans="1:34">
      <c r="A21" s="46">
        <v>13</v>
      </c>
      <c r="B21" s="47" t="s">
        <v>39</v>
      </c>
      <c r="C21" s="41">
        <v>677.3</v>
      </c>
      <c r="D21" s="38">
        <v>3653.8</v>
      </c>
      <c r="E21" s="41">
        <v>401.5</v>
      </c>
      <c r="F21" s="41">
        <v>1411.3</v>
      </c>
      <c r="G21" s="37">
        <v>417.7</v>
      </c>
      <c r="H21" s="38">
        <v>1686.1</v>
      </c>
      <c r="I21" s="41">
        <v>532.1</v>
      </c>
      <c r="J21" s="41">
        <v>1572.3</v>
      </c>
      <c r="K21" s="37">
        <v>426.4</v>
      </c>
      <c r="L21" s="38">
        <v>1385</v>
      </c>
      <c r="M21" s="37">
        <v>390.3</v>
      </c>
      <c r="N21" s="38">
        <v>956.7</v>
      </c>
      <c r="O21" s="41">
        <v>481.4</v>
      </c>
      <c r="P21" s="38">
        <v>1712.8</v>
      </c>
      <c r="Q21" s="37">
        <v>588.79999999999995</v>
      </c>
      <c r="R21" s="45">
        <v>2349.6999999999998</v>
      </c>
      <c r="S21" s="41">
        <v>514.6</v>
      </c>
      <c r="T21" s="38">
        <v>2017</v>
      </c>
      <c r="U21" s="41">
        <v>502.8</v>
      </c>
      <c r="V21" s="41">
        <v>1529.6</v>
      </c>
      <c r="W21" s="37">
        <v>342.8</v>
      </c>
      <c r="X21" s="38">
        <v>591.6</v>
      </c>
      <c r="Y21" s="37">
        <v>372.2</v>
      </c>
      <c r="Z21" s="38">
        <v>752.7</v>
      </c>
      <c r="AA21" s="41">
        <v>497.3</v>
      </c>
      <c r="AB21" s="41">
        <v>1871.6</v>
      </c>
      <c r="AC21" s="37">
        <v>411.1</v>
      </c>
      <c r="AD21" s="38">
        <v>885.6</v>
      </c>
      <c r="AE21" s="37">
        <v>407.5</v>
      </c>
      <c r="AF21" s="38">
        <v>1599.5</v>
      </c>
      <c r="AG21" s="41">
        <v>373.3</v>
      </c>
      <c r="AH21" s="45">
        <v>796.9</v>
      </c>
    </row>
    <row r="22" spans="1:34">
      <c r="A22" s="46">
        <v>14</v>
      </c>
      <c r="B22" s="47" t="s">
        <v>40</v>
      </c>
      <c r="C22" s="41">
        <v>358.4</v>
      </c>
      <c r="D22" s="38">
        <v>1288.5999999999999</v>
      </c>
      <c r="E22" s="41">
        <v>374.4</v>
      </c>
      <c r="F22" s="41">
        <v>947.1</v>
      </c>
      <c r="G22" s="37">
        <v>384.2</v>
      </c>
      <c r="H22" s="38">
        <v>1442.6</v>
      </c>
      <c r="I22" s="41">
        <v>463.7</v>
      </c>
      <c r="J22" s="41">
        <v>705.2</v>
      </c>
      <c r="K22" s="37">
        <v>470.1</v>
      </c>
      <c r="L22" s="38">
        <v>2235.1999999999998</v>
      </c>
      <c r="M22" s="37">
        <v>352.6</v>
      </c>
      <c r="N22" s="38">
        <v>1178.5</v>
      </c>
      <c r="O22" s="41">
        <v>396.7</v>
      </c>
      <c r="P22" s="38">
        <v>1513.8</v>
      </c>
      <c r="Q22" s="37">
        <v>477.4</v>
      </c>
      <c r="R22" s="45">
        <v>2059.9</v>
      </c>
      <c r="S22" s="41">
        <v>401.9</v>
      </c>
      <c r="T22" s="38">
        <v>1186.9000000000001</v>
      </c>
      <c r="U22" s="41">
        <v>481</v>
      </c>
      <c r="V22" s="41">
        <v>1974.1</v>
      </c>
      <c r="W22" s="37">
        <v>316.2</v>
      </c>
      <c r="X22" s="38">
        <v>478.8</v>
      </c>
      <c r="Y22" s="37">
        <v>324.10000000000002</v>
      </c>
      <c r="Z22" s="38">
        <v>469.4</v>
      </c>
      <c r="AA22" s="41">
        <v>464.4</v>
      </c>
      <c r="AB22" s="41">
        <v>1557.5</v>
      </c>
      <c r="AC22" s="37">
        <v>401</v>
      </c>
      <c r="AD22" s="38">
        <v>759</v>
      </c>
      <c r="AE22" s="37">
        <v>358.8</v>
      </c>
      <c r="AF22" s="38">
        <v>1466.5</v>
      </c>
      <c r="AG22" s="41">
        <v>300.3</v>
      </c>
      <c r="AH22" s="45">
        <v>585.79999999999995</v>
      </c>
    </row>
    <row r="23" spans="1:34">
      <c r="A23" s="51">
        <v>15</v>
      </c>
      <c r="B23" s="52" t="s">
        <v>41</v>
      </c>
      <c r="C23" s="41">
        <v>433.2</v>
      </c>
      <c r="D23" s="38">
        <v>2211.5</v>
      </c>
      <c r="E23" s="41">
        <v>317.7</v>
      </c>
      <c r="F23" s="41">
        <v>899.7</v>
      </c>
      <c r="G23" s="37">
        <v>308.89999999999998</v>
      </c>
      <c r="H23" s="38">
        <v>986.9</v>
      </c>
      <c r="I23" s="41">
        <v>466.4</v>
      </c>
      <c r="J23" s="41">
        <v>1512.6</v>
      </c>
      <c r="K23" s="37">
        <v>329.5</v>
      </c>
      <c r="L23" s="38">
        <v>993.5</v>
      </c>
      <c r="M23" s="37">
        <v>293</v>
      </c>
      <c r="N23" s="38">
        <v>720.8</v>
      </c>
      <c r="O23" s="41">
        <v>302.5</v>
      </c>
      <c r="P23" s="38">
        <v>775.7</v>
      </c>
      <c r="Q23" s="37">
        <v>438</v>
      </c>
      <c r="R23" s="45">
        <v>1811</v>
      </c>
      <c r="S23" s="41">
        <v>305.8</v>
      </c>
      <c r="T23" s="38">
        <v>902.1</v>
      </c>
      <c r="U23" s="41">
        <v>366.6</v>
      </c>
      <c r="V23" s="41">
        <v>1352.3</v>
      </c>
      <c r="W23" s="37">
        <v>263.39999999999998</v>
      </c>
      <c r="X23" s="38">
        <v>368.8</v>
      </c>
      <c r="Y23" s="37">
        <v>268.3</v>
      </c>
      <c r="Z23" s="38">
        <v>467.4</v>
      </c>
      <c r="AA23" s="41">
        <v>380.8</v>
      </c>
      <c r="AB23" s="41">
        <v>1252</v>
      </c>
      <c r="AC23" s="37">
        <v>346.8</v>
      </c>
      <c r="AD23" s="38">
        <v>726.4</v>
      </c>
      <c r="AE23" s="37">
        <v>320.39999999999998</v>
      </c>
      <c r="AF23" s="38">
        <v>1010.5</v>
      </c>
      <c r="AG23" s="41">
        <v>272</v>
      </c>
      <c r="AH23" s="45">
        <v>560.9</v>
      </c>
    </row>
    <row r="24" spans="1:34" ht="21" customHeight="1">
      <c r="A24" s="46">
        <v>16</v>
      </c>
      <c r="B24" s="47" t="s">
        <v>42</v>
      </c>
      <c r="C24" s="41">
        <v>323</v>
      </c>
      <c r="D24" s="38">
        <v>656.1</v>
      </c>
      <c r="E24" s="41">
        <v>335.3</v>
      </c>
      <c r="F24" s="41">
        <v>1095.4000000000001</v>
      </c>
      <c r="G24" s="37">
        <v>315.3</v>
      </c>
      <c r="H24" s="38">
        <v>982.7</v>
      </c>
      <c r="I24" s="41">
        <v>437.6</v>
      </c>
      <c r="J24" s="41">
        <v>1372.8</v>
      </c>
      <c r="K24" s="37">
        <v>321.39999999999998</v>
      </c>
      <c r="L24" s="38">
        <v>1112.0999999999999</v>
      </c>
      <c r="M24" s="37">
        <v>283.8</v>
      </c>
      <c r="N24" s="38">
        <v>560.1</v>
      </c>
      <c r="O24" s="41">
        <v>334</v>
      </c>
      <c r="P24" s="38">
        <v>996.5</v>
      </c>
      <c r="Q24" s="37">
        <v>456.1</v>
      </c>
      <c r="R24" s="45">
        <v>1741.6</v>
      </c>
      <c r="S24" s="41">
        <v>304.89999999999998</v>
      </c>
      <c r="T24" s="38">
        <v>950.2</v>
      </c>
      <c r="U24" s="41">
        <v>355</v>
      </c>
      <c r="V24" s="41">
        <v>1193.8</v>
      </c>
      <c r="W24" s="37">
        <v>283.2</v>
      </c>
      <c r="X24" s="38">
        <v>394.9</v>
      </c>
      <c r="Y24" s="37">
        <v>292.7</v>
      </c>
      <c r="Z24" s="38">
        <v>599.1</v>
      </c>
      <c r="AA24" s="41">
        <v>468</v>
      </c>
      <c r="AB24" s="41">
        <v>1130.4000000000001</v>
      </c>
      <c r="AC24" s="37">
        <v>315.89999999999998</v>
      </c>
      <c r="AD24" s="38">
        <v>692</v>
      </c>
      <c r="AE24" s="37">
        <v>312.8</v>
      </c>
      <c r="AF24" s="38">
        <v>1034.9000000000001</v>
      </c>
      <c r="AG24" s="41">
        <v>294.39999999999998</v>
      </c>
      <c r="AH24" s="45">
        <v>735.8</v>
      </c>
    </row>
    <row r="25" spans="1:34">
      <c r="A25" s="46">
        <v>17</v>
      </c>
      <c r="B25" s="47" t="s">
        <v>43</v>
      </c>
      <c r="C25" s="41">
        <v>363.3</v>
      </c>
      <c r="D25" s="38">
        <v>1013.2</v>
      </c>
      <c r="E25" s="41">
        <v>360.8</v>
      </c>
      <c r="F25" s="41">
        <v>1195.5</v>
      </c>
      <c r="G25" s="37">
        <v>320.2</v>
      </c>
      <c r="H25" s="38">
        <v>1067.0999999999999</v>
      </c>
      <c r="I25" s="41">
        <v>449.3</v>
      </c>
      <c r="J25" s="41">
        <v>1368.4</v>
      </c>
      <c r="K25" s="37">
        <v>494.9</v>
      </c>
      <c r="L25" s="38">
        <v>1361.4</v>
      </c>
      <c r="M25" s="37">
        <v>277.89999999999998</v>
      </c>
      <c r="N25" s="38">
        <v>573.6</v>
      </c>
      <c r="O25" s="41">
        <v>338.9</v>
      </c>
      <c r="P25" s="38">
        <v>1018.1</v>
      </c>
      <c r="Q25" s="37">
        <v>443.6</v>
      </c>
      <c r="R25" s="45">
        <v>1720.5</v>
      </c>
      <c r="S25" s="41">
        <v>345.5</v>
      </c>
      <c r="T25" s="38">
        <v>1118.2</v>
      </c>
      <c r="U25" s="41">
        <v>323.89999999999998</v>
      </c>
      <c r="V25" s="41">
        <v>1209.4000000000001</v>
      </c>
      <c r="W25" s="37">
        <v>283.5</v>
      </c>
      <c r="X25" s="38">
        <v>342.1</v>
      </c>
      <c r="Y25" s="37">
        <v>310.89999999999998</v>
      </c>
      <c r="Z25" s="38">
        <v>708.1</v>
      </c>
      <c r="AA25" s="41">
        <v>437.9</v>
      </c>
      <c r="AB25" s="41">
        <v>1403.6</v>
      </c>
      <c r="AC25" s="37">
        <v>337.7</v>
      </c>
      <c r="AD25" s="38">
        <v>741.5</v>
      </c>
      <c r="AE25" s="37">
        <v>316.89999999999998</v>
      </c>
      <c r="AF25" s="38">
        <v>1165.5999999999999</v>
      </c>
      <c r="AG25" s="41">
        <v>260.39999999999998</v>
      </c>
      <c r="AH25" s="45">
        <v>424.4</v>
      </c>
    </row>
    <row r="26" spans="1:34">
      <c r="A26" s="46">
        <v>18</v>
      </c>
      <c r="B26" s="47" t="s">
        <v>44</v>
      </c>
      <c r="C26" s="41">
        <v>390.9</v>
      </c>
      <c r="D26" s="38">
        <v>803.5</v>
      </c>
      <c r="E26" s="41">
        <v>314.8</v>
      </c>
      <c r="F26" s="41">
        <v>890.9</v>
      </c>
      <c r="G26" s="37">
        <v>318.2</v>
      </c>
      <c r="H26" s="38">
        <v>1105.0999999999999</v>
      </c>
      <c r="I26" s="41">
        <v>384.3</v>
      </c>
      <c r="J26" s="41">
        <v>1523.2</v>
      </c>
      <c r="K26" s="37">
        <v>355.7</v>
      </c>
      <c r="L26" s="38">
        <v>1165.7</v>
      </c>
      <c r="M26" s="37">
        <v>296.89999999999998</v>
      </c>
      <c r="N26" s="38">
        <v>459</v>
      </c>
      <c r="O26" s="41">
        <v>299</v>
      </c>
      <c r="P26" s="38">
        <v>912</v>
      </c>
      <c r="Q26" s="37">
        <v>465.1</v>
      </c>
      <c r="R26" s="45">
        <v>1488.7</v>
      </c>
      <c r="S26" s="41">
        <v>293</v>
      </c>
      <c r="T26" s="38">
        <v>792.4</v>
      </c>
      <c r="U26" s="41">
        <v>359.5</v>
      </c>
      <c r="V26" s="41">
        <v>1037.0999999999999</v>
      </c>
      <c r="W26" s="37">
        <v>277.10000000000002</v>
      </c>
      <c r="X26" s="38">
        <v>405.7</v>
      </c>
      <c r="Y26" s="37">
        <v>298.60000000000002</v>
      </c>
      <c r="Z26" s="38">
        <v>454.7</v>
      </c>
      <c r="AA26" s="41">
        <v>427.9</v>
      </c>
      <c r="AB26" s="41">
        <v>1593</v>
      </c>
      <c r="AC26" s="37">
        <v>358.7</v>
      </c>
      <c r="AD26" s="38">
        <v>975</v>
      </c>
      <c r="AE26" s="37">
        <v>306.7</v>
      </c>
      <c r="AF26" s="38">
        <v>901.3</v>
      </c>
      <c r="AG26" s="41">
        <v>270.3</v>
      </c>
      <c r="AH26" s="45">
        <v>780.5</v>
      </c>
    </row>
    <row r="27" spans="1:34">
      <c r="A27" s="46">
        <v>19</v>
      </c>
      <c r="B27" s="47" t="s">
        <v>45</v>
      </c>
      <c r="C27" s="41">
        <v>300.2</v>
      </c>
      <c r="D27" s="38">
        <v>607.4</v>
      </c>
      <c r="E27" s="41">
        <v>348.3</v>
      </c>
      <c r="F27" s="41">
        <v>930.8</v>
      </c>
      <c r="G27" s="37">
        <v>339.1</v>
      </c>
      <c r="H27" s="38">
        <v>1459.3</v>
      </c>
      <c r="I27" s="41">
        <v>439.1</v>
      </c>
      <c r="J27" s="41">
        <v>411.3</v>
      </c>
      <c r="K27" s="37">
        <v>357.6</v>
      </c>
      <c r="L27" s="38">
        <v>1421.8</v>
      </c>
      <c r="M27" s="37">
        <v>336.6</v>
      </c>
      <c r="N27" s="38">
        <v>508.2</v>
      </c>
      <c r="O27" s="41">
        <v>347.3</v>
      </c>
      <c r="P27" s="38">
        <v>741</v>
      </c>
      <c r="Q27" s="37">
        <v>416.9</v>
      </c>
      <c r="R27" s="45">
        <v>1332.5</v>
      </c>
      <c r="S27" s="41">
        <v>321.3</v>
      </c>
      <c r="T27" s="38">
        <v>952</v>
      </c>
      <c r="U27" s="41">
        <v>355.3</v>
      </c>
      <c r="V27" s="41">
        <v>1425.2</v>
      </c>
      <c r="W27" s="37">
        <v>270.8</v>
      </c>
      <c r="X27" s="38">
        <v>429.9</v>
      </c>
      <c r="Y27" s="37">
        <v>289</v>
      </c>
      <c r="Z27" s="38">
        <v>612.20000000000005</v>
      </c>
      <c r="AA27" s="41">
        <v>417.8</v>
      </c>
      <c r="AB27" s="41">
        <v>1354.2</v>
      </c>
      <c r="AC27" s="37">
        <v>334.3</v>
      </c>
      <c r="AD27" s="38">
        <v>631.1</v>
      </c>
      <c r="AE27" s="37">
        <v>320.89999999999998</v>
      </c>
      <c r="AF27" s="38">
        <v>894.1</v>
      </c>
      <c r="AG27" s="41">
        <v>254.4</v>
      </c>
      <c r="AH27" s="45">
        <v>355.7</v>
      </c>
    </row>
    <row r="28" spans="1:34">
      <c r="A28" s="51">
        <v>20</v>
      </c>
      <c r="B28" s="52" t="s">
        <v>46</v>
      </c>
      <c r="C28" s="41">
        <v>305.10000000000002</v>
      </c>
      <c r="D28" s="38">
        <v>501.1</v>
      </c>
      <c r="E28" s="41">
        <v>347.5</v>
      </c>
      <c r="F28" s="41">
        <v>904.8</v>
      </c>
      <c r="G28" s="37">
        <v>321.3</v>
      </c>
      <c r="H28" s="38">
        <v>1156.4000000000001</v>
      </c>
      <c r="I28" s="41">
        <v>439.1</v>
      </c>
      <c r="J28" s="41">
        <v>1167.5</v>
      </c>
      <c r="K28" s="37">
        <v>353.8</v>
      </c>
      <c r="L28" s="38">
        <v>1378.7</v>
      </c>
      <c r="M28" s="37">
        <v>295.60000000000002</v>
      </c>
      <c r="N28" s="38">
        <v>644.29999999999995</v>
      </c>
      <c r="O28" s="41">
        <v>326</v>
      </c>
      <c r="P28" s="38">
        <v>1010.2</v>
      </c>
      <c r="Q28" s="37">
        <v>447.3</v>
      </c>
      <c r="R28" s="45">
        <v>1926.1</v>
      </c>
      <c r="S28" s="41">
        <v>332.7</v>
      </c>
      <c r="T28" s="38">
        <v>935.8</v>
      </c>
      <c r="U28" s="41">
        <v>321.7</v>
      </c>
      <c r="V28" s="41">
        <v>1527.8</v>
      </c>
      <c r="W28" s="37">
        <v>295.3</v>
      </c>
      <c r="X28" s="38">
        <v>486.5</v>
      </c>
      <c r="Y28" s="37">
        <v>298.8</v>
      </c>
      <c r="Z28" s="38">
        <v>437</v>
      </c>
      <c r="AA28" s="41">
        <v>380.4</v>
      </c>
      <c r="AB28" s="41">
        <v>1061.4000000000001</v>
      </c>
      <c r="AC28" s="37">
        <v>337.2</v>
      </c>
      <c r="AD28" s="38">
        <v>795.4</v>
      </c>
      <c r="AE28" s="37">
        <v>331.3</v>
      </c>
      <c r="AF28" s="38">
        <v>1105</v>
      </c>
      <c r="AG28" s="41">
        <v>267.5</v>
      </c>
      <c r="AH28" s="45">
        <v>541.6</v>
      </c>
    </row>
    <row r="29" spans="1:34" ht="21" customHeight="1">
      <c r="A29" s="46">
        <v>21</v>
      </c>
      <c r="B29" s="47" t="s">
        <v>47</v>
      </c>
      <c r="C29" s="41">
        <v>291.8</v>
      </c>
      <c r="D29" s="38">
        <v>344.4</v>
      </c>
      <c r="E29" s="41">
        <v>342.3</v>
      </c>
      <c r="F29" s="41">
        <v>1137.2</v>
      </c>
      <c r="G29" s="37">
        <v>317.8</v>
      </c>
      <c r="H29" s="38">
        <v>996.9</v>
      </c>
      <c r="I29" s="41">
        <v>439.1</v>
      </c>
      <c r="J29" s="41">
        <v>1534.6</v>
      </c>
      <c r="K29" s="37">
        <v>333.5</v>
      </c>
      <c r="L29" s="38">
        <v>1245.9000000000001</v>
      </c>
      <c r="M29" s="37">
        <v>293.3</v>
      </c>
      <c r="N29" s="38">
        <v>508.8</v>
      </c>
      <c r="O29" s="41">
        <v>318.39999999999998</v>
      </c>
      <c r="P29" s="38">
        <v>927.7</v>
      </c>
      <c r="Q29" s="37">
        <v>422.8</v>
      </c>
      <c r="R29" s="45">
        <v>1736.4</v>
      </c>
      <c r="S29" s="41">
        <v>346.3</v>
      </c>
      <c r="T29" s="38">
        <v>1054.4000000000001</v>
      </c>
      <c r="U29" s="41">
        <v>369.3</v>
      </c>
      <c r="V29" s="41">
        <v>1202.3</v>
      </c>
      <c r="W29" s="37">
        <v>279.2</v>
      </c>
      <c r="X29" s="38">
        <v>225</v>
      </c>
      <c r="Y29" s="37">
        <v>323.10000000000002</v>
      </c>
      <c r="Z29" s="38">
        <v>434.8</v>
      </c>
      <c r="AA29" s="41">
        <v>404.6</v>
      </c>
      <c r="AB29" s="41">
        <v>1348.1</v>
      </c>
      <c r="AC29" s="37">
        <v>330.6</v>
      </c>
      <c r="AD29" s="38">
        <v>764.5</v>
      </c>
      <c r="AE29" s="37">
        <v>333.4</v>
      </c>
      <c r="AF29" s="38">
        <v>1284.8</v>
      </c>
      <c r="AG29" s="41">
        <v>274.8</v>
      </c>
      <c r="AH29" s="45">
        <v>460.6</v>
      </c>
    </row>
    <row r="30" spans="1:34">
      <c r="A30" s="46">
        <v>22</v>
      </c>
      <c r="B30" s="47" t="s">
        <v>48</v>
      </c>
      <c r="C30" s="41">
        <v>307.39999999999998</v>
      </c>
      <c r="D30" s="38">
        <v>816.2</v>
      </c>
      <c r="E30" s="41">
        <v>352.3</v>
      </c>
      <c r="F30" s="41">
        <v>1173.0999999999999</v>
      </c>
      <c r="G30" s="37">
        <v>346</v>
      </c>
      <c r="H30" s="38">
        <v>1356.9</v>
      </c>
      <c r="I30" s="41">
        <v>414.7</v>
      </c>
      <c r="J30" s="41">
        <v>1703.7</v>
      </c>
      <c r="K30" s="37">
        <v>358.5</v>
      </c>
      <c r="L30" s="38">
        <v>1313.8</v>
      </c>
      <c r="M30" s="37">
        <v>290.3</v>
      </c>
      <c r="N30" s="38">
        <v>604.70000000000005</v>
      </c>
      <c r="O30" s="41">
        <v>348.5</v>
      </c>
      <c r="P30" s="38">
        <v>1220.5</v>
      </c>
      <c r="Q30" s="37">
        <v>473.4</v>
      </c>
      <c r="R30" s="45">
        <v>1763.7</v>
      </c>
      <c r="S30" s="41">
        <v>323.89999999999998</v>
      </c>
      <c r="T30" s="38">
        <v>806.7</v>
      </c>
      <c r="U30" s="41">
        <v>551.70000000000005</v>
      </c>
      <c r="V30" s="41">
        <v>1257.5</v>
      </c>
      <c r="W30" s="37">
        <v>276.3</v>
      </c>
      <c r="X30" s="38">
        <v>374.8</v>
      </c>
      <c r="Y30" s="37">
        <v>315.3</v>
      </c>
      <c r="Z30" s="38">
        <v>700.5</v>
      </c>
      <c r="AA30" s="41">
        <v>409.4</v>
      </c>
      <c r="AB30" s="41">
        <v>1292.4000000000001</v>
      </c>
      <c r="AC30" s="37">
        <v>337.7</v>
      </c>
      <c r="AD30" s="38">
        <v>907.7</v>
      </c>
      <c r="AE30" s="37">
        <v>326.7</v>
      </c>
      <c r="AF30" s="38">
        <v>1290.9000000000001</v>
      </c>
      <c r="AG30" s="41">
        <v>280.7</v>
      </c>
      <c r="AH30" s="45">
        <v>505.7</v>
      </c>
    </row>
    <row r="31" spans="1:34">
      <c r="A31" s="46">
        <v>23</v>
      </c>
      <c r="B31" s="47" t="s">
        <v>49</v>
      </c>
      <c r="C31" s="41">
        <v>345.1</v>
      </c>
      <c r="D31" s="38">
        <v>746.4</v>
      </c>
      <c r="E31" s="41">
        <v>378.9</v>
      </c>
      <c r="F31" s="41">
        <v>1175.5999999999999</v>
      </c>
      <c r="G31" s="37">
        <v>358.3</v>
      </c>
      <c r="H31" s="38">
        <v>1399.1</v>
      </c>
      <c r="I31" s="41">
        <v>501.9</v>
      </c>
      <c r="J31" s="41">
        <v>2140.9</v>
      </c>
      <c r="K31" s="37">
        <v>382.2</v>
      </c>
      <c r="L31" s="38">
        <v>1443.5</v>
      </c>
      <c r="M31" s="37">
        <v>332.5</v>
      </c>
      <c r="N31" s="38">
        <v>796.3</v>
      </c>
      <c r="O31" s="41">
        <v>387.2</v>
      </c>
      <c r="P31" s="38">
        <v>1462.8</v>
      </c>
      <c r="Q31" s="37">
        <v>498.8</v>
      </c>
      <c r="R31" s="45">
        <v>1911.6</v>
      </c>
      <c r="S31" s="41">
        <v>381</v>
      </c>
      <c r="T31" s="38">
        <v>1427</v>
      </c>
      <c r="U31" s="41">
        <v>398.1</v>
      </c>
      <c r="V31" s="41">
        <v>1616.2</v>
      </c>
      <c r="W31" s="37">
        <v>303.10000000000002</v>
      </c>
      <c r="X31" s="38">
        <v>497.5</v>
      </c>
      <c r="Y31" s="37">
        <v>339.5</v>
      </c>
      <c r="Z31" s="38">
        <v>697.5</v>
      </c>
      <c r="AA31" s="41">
        <v>451.8</v>
      </c>
      <c r="AB31" s="41">
        <v>1848.6</v>
      </c>
      <c r="AC31" s="37">
        <v>378.4</v>
      </c>
      <c r="AD31" s="38">
        <v>941.3</v>
      </c>
      <c r="AE31" s="37">
        <v>333.4</v>
      </c>
      <c r="AF31" s="38">
        <v>1098.4000000000001</v>
      </c>
      <c r="AG31" s="41">
        <v>284.5</v>
      </c>
      <c r="AH31" s="45">
        <v>570</v>
      </c>
    </row>
    <row r="32" spans="1:34">
      <c r="A32" s="46">
        <v>24</v>
      </c>
      <c r="B32" s="47" t="s">
        <v>50</v>
      </c>
      <c r="C32" s="41">
        <v>348.8</v>
      </c>
      <c r="D32" s="38">
        <v>705.3</v>
      </c>
      <c r="E32" s="41">
        <v>356</v>
      </c>
      <c r="F32" s="41">
        <v>694.6</v>
      </c>
      <c r="G32" s="37">
        <v>355</v>
      </c>
      <c r="H32" s="38">
        <v>1277.7</v>
      </c>
      <c r="I32" s="41">
        <v>411.2</v>
      </c>
      <c r="J32" s="41">
        <v>1580.8</v>
      </c>
      <c r="K32" s="37">
        <v>353.1</v>
      </c>
      <c r="L32" s="38">
        <v>994.4</v>
      </c>
      <c r="M32" s="37">
        <v>287</v>
      </c>
      <c r="N32" s="38">
        <v>632.9</v>
      </c>
      <c r="O32" s="41">
        <v>325.5</v>
      </c>
      <c r="P32" s="38">
        <v>941.7</v>
      </c>
      <c r="Q32" s="37">
        <v>459.4</v>
      </c>
      <c r="R32" s="45">
        <v>1968.3</v>
      </c>
      <c r="S32" s="41">
        <v>336</v>
      </c>
      <c r="T32" s="38">
        <v>760</v>
      </c>
      <c r="U32" s="41">
        <v>375.5</v>
      </c>
      <c r="V32" s="41">
        <v>1587.9</v>
      </c>
      <c r="W32" s="37">
        <v>291</v>
      </c>
      <c r="X32" s="38">
        <v>550</v>
      </c>
      <c r="Y32" s="37">
        <v>324</v>
      </c>
      <c r="Z32" s="38">
        <v>644.6</v>
      </c>
      <c r="AA32" s="41">
        <v>409.4</v>
      </c>
      <c r="AB32" s="41">
        <v>1473.7</v>
      </c>
      <c r="AC32" s="37">
        <v>378.3</v>
      </c>
      <c r="AD32" s="38">
        <v>879.4</v>
      </c>
      <c r="AE32" s="37">
        <v>322.10000000000002</v>
      </c>
      <c r="AF32" s="38">
        <v>1129.3</v>
      </c>
      <c r="AG32" s="41">
        <v>269.8</v>
      </c>
      <c r="AH32" s="45">
        <v>446.4</v>
      </c>
    </row>
    <row r="33" spans="1:34">
      <c r="A33" s="51">
        <v>25</v>
      </c>
      <c r="B33" s="52" t="s">
        <v>51</v>
      </c>
      <c r="C33" s="41">
        <v>279.7</v>
      </c>
      <c r="D33" s="38">
        <v>307.5</v>
      </c>
      <c r="E33" s="41">
        <v>381.8</v>
      </c>
      <c r="F33" s="41">
        <v>1089.8</v>
      </c>
      <c r="G33" s="37">
        <v>345.7</v>
      </c>
      <c r="H33" s="38">
        <v>1285.3</v>
      </c>
      <c r="I33" s="41">
        <v>396.7</v>
      </c>
      <c r="J33" s="41">
        <v>1595.4</v>
      </c>
      <c r="K33" s="37">
        <v>321.89999999999998</v>
      </c>
      <c r="L33" s="38">
        <v>578.5</v>
      </c>
      <c r="M33" s="37">
        <v>285.10000000000002</v>
      </c>
      <c r="N33" s="38">
        <v>549.1</v>
      </c>
      <c r="O33" s="41">
        <v>347.1</v>
      </c>
      <c r="P33" s="38">
        <v>926.6</v>
      </c>
      <c r="Q33" s="37">
        <v>411.9</v>
      </c>
      <c r="R33" s="45">
        <v>1867.1</v>
      </c>
      <c r="S33" s="41">
        <v>343.5</v>
      </c>
      <c r="T33" s="38">
        <v>962.8</v>
      </c>
      <c r="U33" s="41">
        <v>395.2</v>
      </c>
      <c r="V33" s="41">
        <v>1445</v>
      </c>
      <c r="W33" s="37">
        <v>289.60000000000002</v>
      </c>
      <c r="X33" s="38">
        <v>465.2</v>
      </c>
      <c r="Y33" s="37">
        <v>344.6</v>
      </c>
      <c r="Z33" s="38">
        <v>803.2</v>
      </c>
      <c r="AA33" s="41">
        <v>461.1</v>
      </c>
      <c r="AB33" s="41">
        <v>1647.6</v>
      </c>
      <c r="AC33" s="37">
        <v>370.7</v>
      </c>
      <c r="AD33" s="38">
        <v>796.7</v>
      </c>
      <c r="AE33" s="37">
        <v>342.9</v>
      </c>
      <c r="AF33" s="38">
        <v>1172.0999999999999</v>
      </c>
      <c r="AG33" s="41">
        <v>270</v>
      </c>
      <c r="AH33" s="45">
        <v>448.9</v>
      </c>
    </row>
    <row r="34" spans="1:34" ht="21" customHeight="1">
      <c r="A34" s="46">
        <v>26</v>
      </c>
      <c r="B34" s="47" t="s">
        <v>52</v>
      </c>
      <c r="C34" s="41">
        <v>348.5</v>
      </c>
      <c r="D34" s="38">
        <v>1150.9000000000001</v>
      </c>
      <c r="E34" s="41">
        <v>356.5</v>
      </c>
      <c r="F34" s="41">
        <v>1066.2</v>
      </c>
      <c r="G34" s="37">
        <v>353.3</v>
      </c>
      <c r="H34" s="38">
        <v>1208.4000000000001</v>
      </c>
      <c r="I34" s="41">
        <v>358.1</v>
      </c>
      <c r="J34" s="41">
        <v>1588.2</v>
      </c>
      <c r="K34" s="37">
        <v>406.5</v>
      </c>
      <c r="L34" s="38">
        <v>1136.7</v>
      </c>
      <c r="M34" s="37">
        <v>287.2</v>
      </c>
      <c r="N34" s="38">
        <v>497.8</v>
      </c>
      <c r="O34" s="41">
        <v>354.6</v>
      </c>
      <c r="P34" s="38">
        <v>1082.7</v>
      </c>
      <c r="Q34" s="37">
        <v>431</v>
      </c>
      <c r="R34" s="45">
        <v>1915.9</v>
      </c>
      <c r="S34" s="41">
        <v>359.4</v>
      </c>
      <c r="T34" s="38">
        <v>823.6</v>
      </c>
      <c r="U34" s="41">
        <v>397.9</v>
      </c>
      <c r="V34" s="38">
        <v>1367.9</v>
      </c>
      <c r="W34" s="35">
        <v>339</v>
      </c>
      <c r="X34" s="72">
        <v>709.5</v>
      </c>
      <c r="Y34" s="37">
        <v>350.2</v>
      </c>
      <c r="Z34" s="38">
        <v>610.6</v>
      </c>
      <c r="AA34" s="41">
        <v>465.3</v>
      </c>
      <c r="AB34" s="41">
        <v>2007.2</v>
      </c>
      <c r="AC34" s="37">
        <v>361.2</v>
      </c>
      <c r="AD34" s="38">
        <v>894.6</v>
      </c>
      <c r="AE34" s="37">
        <v>342.1</v>
      </c>
      <c r="AF34" s="38">
        <v>1073.7</v>
      </c>
      <c r="AG34" s="41">
        <v>301.2</v>
      </c>
      <c r="AH34" s="45">
        <v>726.7</v>
      </c>
    </row>
    <row r="35" spans="1:34">
      <c r="A35" s="46">
        <v>27</v>
      </c>
      <c r="B35" s="47" t="s">
        <v>53</v>
      </c>
      <c r="C35" s="41">
        <v>380.8</v>
      </c>
      <c r="D35" s="38">
        <v>739.2</v>
      </c>
      <c r="E35" s="41">
        <v>463.4</v>
      </c>
      <c r="F35" s="41">
        <v>1499.2</v>
      </c>
      <c r="G35" s="37">
        <v>367.6</v>
      </c>
      <c r="H35" s="38">
        <v>1248.2</v>
      </c>
      <c r="I35" s="41">
        <v>418.7</v>
      </c>
      <c r="J35" s="41">
        <v>1953.9</v>
      </c>
      <c r="K35" s="37">
        <v>388.4</v>
      </c>
      <c r="L35" s="38">
        <v>1215</v>
      </c>
      <c r="M35" s="37">
        <v>323.8</v>
      </c>
      <c r="N35" s="38">
        <v>656.2</v>
      </c>
      <c r="O35" s="41">
        <v>404.4</v>
      </c>
      <c r="P35" s="38">
        <v>1486</v>
      </c>
      <c r="Q35" s="37">
        <v>506.3</v>
      </c>
      <c r="R35" s="45">
        <v>1996.4</v>
      </c>
      <c r="S35" s="41">
        <v>384.3</v>
      </c>
      <c r="T35" s="38">
        <v>1261.9000000000001</v>
      </c>
      <c r="U35" s="41">
        <v>434.2</v>
      </c>
      <c r="V35" s="41">
        <v>1623.3</v>
      </c>
      <c r="W35" s="37">
        <v>309.7</v>
      </c>
      <c r="X35" s="38">
        <v>452.9</v>
      </c>
      <c r="Y35" s="37">
        <v>344.5</v>
      </c>
      <c r="Z35" s="38">
        <v>610.1</v>
      </c>
      <c r="AA35" s="41">
        <v>401.6</v>
      </c>
      <c r="AB35" s="41">
        <v>1797.9</v>
      </c>
      <c r="AC35" s="37">
        <v>373.7</v>
      </c>
      <c r="AD35" s="38">
        <v>860.5</v>
      </c>
      <c r="AE35" s="37">
        <v>366.5</v>
      </c>
      <c r="AF35" s="38">
        <v>1320.8</v>
      </c>
      <c r="AG35" s="41">
        <v>307.2</v>
      </c>
      <c r="AH35" s="45">
        <v>629</v>
      </c>
    </row>
    <row r="36" spans="1:34">
      <c r="A36" s="46">
        <v>28</v>
      </c>
      <c r="B36" s="47" t="s">
        <v>54</v>
      </c>
      <c r="C36" s="41">
        <v>365.4</v>
      </c>
      <c r="D36" s="38">
        <v>978.4</v>
      </c>
      <c r="E36" s="41">
        <v>350.3</v>
      </c>
      <c r="F36" s="41">
        <v>923.4</v>
      </c>
      <c r="G36" s="37">
        <v>369.9</v>
      </c>
      <c r="H36" s="38">
        <v>1535.8</v>
      </c>
      <c r="I36" s="41">
        <v>339.2</v>
      </c>
      <c r="J36" s="41">
        <v>1295.5999999999999</v>
      </c>
      <c r="K36" s="37">
        <v>412.2</v>
      </c>
      <c r="L36" s="38">
        <v>1845.5</v>
      </c>
      <c r="M36" s="37">
        <v>283.3</v>
      </c>
      <c r="N36" s="38">
        <v>704.4</v>
      </c>
      <c r="O36" s="41">
        <v>360.4</v>
      </c>
      <c r="P36" s="38">
        <v>1041.9000000000001</v>
      </c>
      <c r="Q36" s="37">
        <v>462.2</v>
      </c>
      <c r="R36" s="45">
        <v>1496.3</v>
      </c>
      <c r="S36" s="41">
        <v>360.3</v>
      </c>
      <c r="T36" s="38">
        <v>1374.7</v>
      </c>
      <c r="U36" s="41">
        <v>416.9</v>
      </c>
      <c r="V36" s="41">
        <v>1648.1</v>
      </c>
      <c r="W36" s="37">
        <v>284.10000000000002</v>
      </c>
      <c r="X36" s="38">
        <v>396.4</v>
      </c>
      <c r="Y36" s="37">
        <v>298.60000000000002</v>
      </c>
      <c r="Z36" s="38">
        <v>478.3</v>
      </c>
      <c r="AA36" s="41">
        <v>435.3</v>
      </c>
      <c r="AB36" s="41">
        <v>1512.9</v>
      </c>
      <c r="AC36" s="37">
        <v>379.1</v>
      </c>
      <c r="AD36" s="38">
        <v>763.8</v>
      </c>
      <c r="AE36" s="37">
        <v>339.3</v>
      </c>
      <c r="AF36" s="38">
        <v>1211.5</v>
      </c>
      <c r="AG36" s="41">
        <v>290.8</v>
      </c>
      <c r="AH36" s="45">
        <v>566.70000000000005</v>
      </c>
    </row>
    <row r="37" spans="1:34">
      <c r="A37" s="46">
        <v>29</v>
      </c>
      <c r="B37" s="47" t="s">
        <v>55</v>
      </c>
      <c r="C37" s="41" t="s">
        <v>56</v>
      </c>
      <c r="D37" s="38" t="s">
        <v>56</v>
      </c>
      <c r="E37" s="41">
        <v>383.2</v>
      </c>
      <c r="F37" s="41">
        <v>1171.9000000000001</v>
      </c>
      <c r="G37" s="37">
        <v>317.5</v>
      </c>
      <c r="H37" s="38">
        <v>958.9</v>
      </c>
      <c r="I37" s="41">
        <v>392.1</v>
      </c>
      <c r="J37" s="41">
        <v>1689.4</v>
      </c>
      <c r="K37" s="37">
        <v>356.1</v>
      </c>
      <c r="L37" s="38">
        <v>826.3</v>
      </c>
      <c r="M37" s="37">
        <v>313.2</v>
      </c>
      <c r="N37" s="38">
        <v>622.29999999999995</v>
      </c>
      <c r="O37" s="41">
        <v>330.5</v>
      </c>
      <c r="P37" s="38">
        <v>871.4</v>
      </c>
      <c r="Q37" s="37">
        <v>507.1</v>
      </c>
      <c r="R37" s="45">
        <v>2193.5</v>
      </c>
      <c r="S37" s="41">
        <v>341.7</v>
      </c>
      <c r="T37" s="38">
        <v>1006.9</v>
      </c>
      <c r="U37" s="41">
        <v>360.2</v>
      </c>
      <c r="V37" s="41">
        <v>1293.9000000000001</v>
      </c>
      <c r="W37" s="37">
        <v>322.8</v>
      </c>
      <c r="X37" s="38">
        <v>697.9</v>
      </c>
      <c r="Y37" s="37">
        <v>295.8</v>
      </c>
      <c r="Z37" s="38">
        <v>335.2</v>
      </c>
      <c r="AA37" s="41">
        <v>419.9</v>
      </c>
      <c r="AB37" s="41">
        <v>1399.6</v>
      </c>
      <c r="AC37" s="37">
        <v>382.5</v>
      </c>
      <c r="AD37" s="38">
        <v>639.5</v>
      </c>
      <c r="AE37" s="37">
        <v>319</v>
      </c>
      <c r="AF37" s="38">
        <v>1094.5999999999999</v>
      </c>
      <c r="AG37" s="41">
        <v>269.3</v>
      </c>
      <c r="AH37" s="45">
        <v>524.6</v>
      </c>
    </row>
    <row r="38" spans="1:34">
      <c r="A38" s="51">
        <v>30</v>
      </c>
      <c r="B38" s="52" t="s">
        <v>57</v>
      </c>
      <c r="C38" s="41">
        <v>357.4</v>
      </c>
      <c r="D38" s="38">
        <v>796.6</v>
      </c>
      <c r="E38" s="41">
        <v>364.7</v>
      </c>
      <c r="F38" s="41">
        <v>937.5</v>
      </c>
      <c r="G38" s="37">
        <v>330.3</v>
      </c>
      <c r="H38" s="38">
        <v>1255.8</v>
      </c>
      <c r="I38" s="41">
        <v>381.1</v>
      </c>
      <c r="J38" s="41">
        <v>1604.1</v>
      </c>
      <c r="K38" s="37">
        <v>349.1</v>
      </c>
      <c r="L38" s="38">
        <v>1177.9000000000001</v>
      </c>
      <c r="M38" s="37">
        <v>302.39999999999998</v>
      </c>
      <c r="N38" s="38">
        <v>660.3</v>
      </c>
      <c r="O38" s="41">
        <v>320.5</v>
      </c>
      <c r="P38" s="38">
        <v>815.8</v>
      </c>
      <c r="Q38" s="37">
        <v>428.8</v>
      </c>
      <c r="R38" s="45">
        <v>1600.4</v>
      </c>
      <c r="S38" s="41">
        <v>338.7</v>
      </c>
      <c r="T38" s="38">
        <v>938.3</v>
      </c>
      <c r="U38" s="41">
        <v>358.2</v>
      </c>
      <c r="V38" s="41">
        <v>1198.2</v>
      </c>
      <c r="W38" s="37">
        <v>264</v>
      </c>
      <c r="X38" s="38">
        <v>260.2</v>
      </c>
      <c r="Y38" s="37">
        <v>277.7</v>
      </c>
      <c r="Z38" s="38">
        <v>408.4</v>
      </c>
      <c r="AA38" s="41">
        <v>441.4</v>
      </c>
      <c r="AB38" s="41">
        <v>1481.6</v>
      </c>
      <c r="AC38" s="37">
        <v>346.8</v>
      </c>
      <c r="AD38" s="38">
        <v>862.4</v>
      </c>
      <c r="AE38" s="37">
        <v>312.60000000000002</v>
      </c>
      <c r="AF38" s="38">
        <v>1234.5</v>
      </c>
      <c r="AG38" s="41">
        <v>276.60000000000002</v>
      </c>
      <c r="AH38" s="45">
        <v>653.70000000000005</v>
      </c>
    </row>
    <row r="39" spans="1:34" ht="21" customHeight="1">
      <c r="A39" s="46">
        <v>31</v>
      </c>
      <c r="B39" s="47" t="s">
        <v>58</v>
      </c>
      <c r="C39" s="41" t="s">
        <v>56</v>
      </c>
      <c r="D39" s="38" t="s">
        <v>56</v>
      </c>
      <c r="E39" s="41">
        <v>282.60000000000002</v>
      </c>
      <c r="F39" s="41">
        <v>506.6</v>
      </c>
      <c r="G39" s="37">
        <v>303.39999999999998</v>
      </c>
      <c r="H39" s="38">
        <v>869.6</v>
      </c>
      <c r="I39" s="41">
        <v>356.1</v>
      </c>
      <c r="J39" s="41">
        <v>1085.7</v>
      </c>
      <c r="K39" s="37">
        <v>325.7</v>
      </c>
      <c r="L39" s="38">
        <v>872</v>
      </c>
      <c r="M39" s="37">
        <v>263.60000000000002</v>
      </c>
      <c r="N39" s="38">
        <v>438.9</v>
      </c>
      <c r="O39" s="41">
        <v>290.7</v>
      </c>
      <c r="P39" s="38">
        <v>727.8</v>
      </c>
      <c r="Q39" s="37">
        <v>412.9</v>
      </c>
      <c r="R39" s="45">
        <v>1669.9</v>
      </c>
      <c r="S39" s="41">
        <v>281.3</v>
      </c>
      <c r="T39" s="38">
        <v>691.2</v>
      </c>
      <c r="U39" s="41">
        <v>323.2</v>
      </c>
      <c r="V39" s="41">
        <v>1141.8</v>
      </c>
      <c r="W39" s="37">
        <v>242.8</v>
      </c>
      <c r="X39" s="38">
        <v>198.4</v>
      </c>
      <c r="Y39" s="37">
        <v>261.39999999999998</v>
      </c>
      <c r="Z39" s="38">
        <v>480.1</v>
      </c>
      <c r="AA39" s="41">
        <v>394.8</v>
      </c>
      <c r="AB39" s="41">
        <v>1097.2</v>
      </c>
      <c r="AC39" s="37">
        <v>361.4</v>
      </c>
      <c r="AD39" s="38">
        <v>735.5</v>
      </c>
      <c r="AE39" s="37">
        <v>288</v>
      </c>
      <c r="AF39" s="38">
        <v>720.4</v>
      </c>
      <c r="AG39" s="41">
        <v>244</v>
      </c>
      <c r="AH39" s="45">
        <v>456.5</v>
      </c>
    </row>
    <row r="40" spans="1:34">
      <c r="A40" s="46">
        <v>32</v>
      </c>
      <c r="B40" s="47" t="s">
        <v>59</v>
      </c>
      <c r="C40" s="41">
        <v>278.3</v>
      </c>
      <c r="D40" s="38">
        <v>471.4</v>
      </c>
      <c r="E40" s="41">
        <v>296.39999999999998</v>
      </c>
      <c r="F40" s="41">
        <v>768.1</v>
      </c>
      <c r="G40" s="37">
        <v>286.2</v>
      </c>
      <c r="H40" s="38">
        <v>848.9</v>
      </c>
      <c r="I40" s="41">
        <v>421.9</v>
      </c>
      <c r="J40" s="41">
        <v>1326</v>
      </c>
      <c r="K40" s="37">
        <v>327.5</v>
      </c>
      <c r="L40" s="38">
        <v>952.7</v>
      </c>
      <c r="M40" s="37">
        <v>263.2</v>
      </c>
      <c r="N40" s="38">
        <v>524.5</v>
      </c>
      <c r="O40" s="41">
        <v>294.2</v>
      </c>
      <c r="P40" s="38">
        <v>874.8</v>
      </c>
      <c r="Q40" s="37">
        <v>434.6</v>
      </c>
      <c r="R40" s="45">
        <v>2015.1</v>
      </c>
      <c r="S40" s="41">
        <v>281.39999999999998</v>
      </c>
      <c r="T40" s="38">
        <v>750.6</v>
      </c>
      <c r="U40" s="41">
        <v>344.2</v>
      </c>
      <c r="V40" s="41">
        <v>1516.4</v>
      </c>
      <c r="W40" s="37">
        <v>252.7</v>
      </c>
      <c r="X40" s="38">
        <v>292</v>
      </c>
      <c r="Y40" s="37">
        <v>246</v>
      </c>
      <c r="Z40" s="38">
        <v>437.5</v>
      </c>
      <c r="AA40" s="41">
        <v>364.3</v>
      </c>
      <c r="AB40" s="41">
        <v>1159.4000000000001</v>
      </c>
      <c r="AC40" s="37">
        <v>283</v>
      </c>
      <c r="AD40" s="38">
        <v>895.1</v>
      </c>
      <c r="AE40" s="37">
        <v>298.89999999999998</v>
      </c>
      <c r="AF40" s="38">
        <v>1031.3</v>
      </c>
      <c r="AG40" s="41">
        <v>263.60000000000002</v>
      </c>
      <c r="AH40" s="45">
        <v>636.6</v>
      </c>
    </row>
    <row r="41" spans="1:34">
      <c r="A41" s="46">
        <v>33</v>
      </c>
      <c r="B41" s="47" t="s">
        <v>60</v>
      </c>
      <c r="C41" s="41">
        <v>286.8</v>
      </c>
      <c r="D41" s="38">
        <v>680.2</v>
      </c>
      <c r="E41" s="41">
        <v>340.7</v>
      </c>
      <c r="F41" s="41">
        <v>857.5</v>
      </c>
      <c r="G41" s="37">
        <v>323.60000000000002</v>
      </c>
      <c r="H41" s="38">
        <v>1162.3</v>
      </c>
      <c r="I41" s="41">
        <v>402.4</v>
      </c>
      <c r="J41" s="41">
        <v>1316.7</v>
      </c>
      <c r="K41" s="37">
        <v>341.6</v>
      </c>
      <c r="L41" s="38">
        <v>1430</v>
      </c>
      <c r="M41" s="37">
        <v>290.89999999999998</v>
      </c>
      <c r="N41" s="38">
        <v>598.29999999999995</v>
      </c>
      <c r="O41" s="41">
        <v>316.39999999999998</v>
      </c>
      <c r="P41" s="38">
        <v>898.7</v>
      </c>
      <c r="Q41" s="37">
        <v>456.2</v>
      </c>
      <c r="R41" s="45">
        <v>1827.5</v>
      </c>
      <c r="S41" s="41">
        <v>337.7</v>
      </c>
      <c r="T41" s="38">
        <v>1200.9000000000001</v>
      </c>
      <c r="U41" s="41">
        <v>399.1</v>
      </c>
      <c r="V41" s="41">
        <v>1227.5</v>
      </c>
      <c r="W41" s="37">
        <v>272</v>
      </c>
      <c r="X41" s="38">
        <v>297.7</v>
      </c>
      <c r="Y41" s="37">
        <v>287.10000000000002</v>
      </c>
      <c r="Z41" s="38">
        <v>512.20000000000005</v>
      </c>
      <c r="AA41" s="41">
        <v>448.2</v>
      </c>
      <c r="AB41" s="41">
        <v>1609.2</v>
      </c>
      <c r="AC41" s="37">
        <v>353.3</v>
      </c>
      <c r="AD41" s="38">
        <v>697.3</v>
      </c>
      <c r="AE41" s="37">
        <v>327.8</v>
      </c>
      <c r="AF41" s="38">
        <v>1146.4000000000001</v>
      </c>
      <c r="AG41" s="41">
        <v>268.5</v>
      </c>
      <c r="AH41" s="45">
        <v>529.29999999999995</v>
      </c>
    </row>
    <row r="42" spans="1:34">
      <c r="A42" s="46">
        <v>34</v>
      </c>
      <c r="B42" s="47" t="s">
        <v>61</v>
      </c>
      <c r="C42" s="41">
        <v>359.9</v>
      </c>
      <c r="D42" s="38">
        <v>600</v>
      </c>
      <c r="E42" s="41">
        <v>343.7</v>
      </c>
      <c r="F42" s="41">
        <v>1071.5999999999999</v>
      </c>
      <c r="G42" s="37">
        <v>323.39999999999998</v>
      </c>
      <c r="H42" s="38">
        <v>1154.9000000000001</v>
      </c>
      <c r="I42" s="41">
        <v>457</v>
      </c>
      <c r="J42" s="41">
        <v>1459.7</v>
      </c>
      <c r="K42" s="37">
        <v>383.5</v>
      </c>
      <c r="L42" s="38">
        <v>1625.3</v>
      </c>
      <c r="M42" s="37">
        <v>316.39999999999998</v>
      </c>
      <c r="N42" s="38">
        <v>677.2</v>
      </c>
      <c r="O42" s="41">
        <v>355.4</v>
      </c>
      <c r="P42" s="38">
        <v>1174.2</v>
      </c>
      <c r="Q42" s="37">
        <v>477.6</v>
      </c>
      <c r="R42" s="45">
        <v>1348.6</v>
      </c>
      <c r="S42" s="41">
        <v>361.1</v>
      </c>
      <c r="T42" s="38">
        <v>1124</v>
      </c>
      <c r="U42" s="41">
        <v>376.6</v>
      </c>
      <c r="V42" s="41">
        <v>1199</v>
      </c>
      <c r="W42" s="37">
        <v>296.89999999999998</v>
      </c>
      <c r="X42" s="38">
        <v>467.7</v>
      </c>
      <c r="Y42" s="37">
        <v>298.89999999999998</v>
      </c>
      <c r="Z42" s="38">
        <v>516.70000000000005</v>
      </c>
      <c r="AA42" s="41">
        <v>420.4</v>
      </c>
      <c r="AB42" s="41">
        <v>1431.7</v>
      </c>
      <c r="AC42" s="37">
        <v>377</v>
      </c>
      <c r="AD42" s="38">
        <v>776.8</v>
      </c>
      <c r="AE42" s="37">
        <v>339.8</v>
      </c>
      <c r="AF42" s="38">
        <v>1209</v>
      </c>
      <c r="AG42" s="41">
        <v>294.2</v>
      </c>
      <c r="AH42" s="45">
        <v>696.8</v>
      </c>
    </row>
    <row r="43" spans="1:34">
      <c r="A43" s="51">
        <v>35</v>
      </c>
      <c r="B43" s="52" t="s">
        <v>62</v>
      </c>
      <c r="C43" s="41">
        <v>299.7</v>
      </c>
      <c r="D43" s="38">
        <v>1124.7</v>
      </c>
      <c r="E43" s="41">
        <v>328.8</v>
      </c>
      <c r="F43" s="41">
        <v>928.1</v>
      </c>
      <c r="G43" s="37">
        <v>338.9</v>
      </c>
      <c r="H43" s="38">
        <v>1336.1</v>
      </c>
      <c r="I43" s="41">
        <v>407</v>
      </c>
      <c r="J43" s="41">
        <v>1377.7</v>
      </c>
      <c r="K43" s="37">
        <v>388.6</v>
      </c>
      <c r="L43" s="38">
        <v>1285.7</v>
      </c>
      <c r="M43" s="37">
        <v>277.39999999999998</v>
      </c>
      <c r="N43" s="38">
        <v>554.29999999999995</v>
      </c>
      <c r="O43" s="41">
        <v>338.3</v>
      </c>
      <c r="P43" s="38">
        <v>964.6</v>
      </c>
      <c r="Q43" s="37">
        <v>442.6</v>
      </c>
      <c r="R43" s="45">
        <v>1656.7</v>
      </c>
      <c r="S43" s="41">
        <v>311.3</v>
      </c>
      <c r="T43" s="38">
        <v>756.7</v>
      </c>
      <c r="U43" s="41">
        <v>358.3</v>
      </c>
      <c r="V43" s="41">
        <v>1476.1</v>
      </c>
      <c r="W43" s="37">
        <v>276.7</v>
      </c>
      <c r="X43" s="38">
        <v>394.6</v>
      </c>
      <c r="Y43" s="37">
        <v>329.1</v>
      </c>
      <c r="Z43" s="38">
        <v>593.6</v>
      </c>
      <c r="AA43" s="41">
        <v>355.5</v>
      </c>
      <c r="AB43" s="41">
        <v>1189.0999999999999</v>
      </c>
      <c r="AC43" s="37">
        <v>365.7</v>
      </c>
      <c r="AD43" s="38">
        <v>988.5</v>
      </c>
      <c r="AE43" s="37">
        <v>322.8</v>
      </c>
      <c r="AF43" s="38">
        <v>1134.5</v>
      </c>
      <c r="AG43" s="41">
        <v>263.89999999999998</v>
      </c>
      <c r="AH43" s="45">
        <v>532.5</v>
      </c>
    </row>
    <row r="44" spans="1:34" ht="21" customHeight="1">
      <c r="A44" s="46">
        <v>36</v>
      </c>
      <c r="B44" s="47" t="s">
        <v>63</v>
      </c>
      <c r="C44" s="41" t="s">
        <v>56</v>
      </c>
      <c r="D44" s="38" t="s">
        <v>56</v>
      </c>
      <c r="E44" s="41">
        <v>333</v>
      </c>
      <c r="F44" s="41">
        <v>1030.5999999999999</v>
      </c>
      <c r="G44" s="37">
        <v>325.8</v>
      </c>
      <c r="H44" s="38">
        <v>1225.8</v>
      </c>
      <c r="I44" s="41">
        <v>386.2</v>
      </c>
      <c r="J44" s="41">
        <v>1386.6</v>
      </c>
      <c r="K44" s="37">
        <v>411.7</v>
      </c>
      <c r="L44" s="38">
        <v>1534.3</v>
      </c>
      <c r="M44" s="37">
        <v>280</v>
      </c>
      <c r="N44" s="38">
        <v>462.1</v>
      </c>
      <c r="O44" s="41">
        <v>297.5</v>
      </c>
      <c r="P44" s="38">
        <v>861.6</v>
      </c>
      <c r="Q44" s="37">
        <v>443.2</v>
      </c>
      <c r="R44" s="45">
        <v>1829.5</v>
      </c>
      <c r="S44" s="41">
        <v>297.5</v>
      </c>
      <c r="T44" s="38">
        <v>657.4</v>
      </c>
      <c r="U44" s="41">
        <v>326</v>
      </c>
      <c r="V44" s="41">
        <v>1255.8</v>
      </c>
      <c r="W44" s="37">
        <v>286.7</v>
      </c>
      <c r="X44" s="38">
        <v>421.8</v>
      </c>
      <c r="Y44" s="37">
        <v>273.60000000000002</v>
      </c>
      <c r="Z44" s="38">
        <v>401.8</v>
      </c>
      <c r="AA44" s="41">
        <v>424.1</v>
      </c>
      <c r="AB44" s="41">
        <v>1117.7</v>
      </c>
      <c r="AC44" s="37">
        <v>357.8</v>
      </c>
      <c r="AD44" s="38">
        <v>716.9</v>
      </c>
      <c r="AE44" s="37">
        <v>270</v>
      </c>
      <c r="AF44" s="38">
        <v>988</v>
      </c>
      <c r="AG44" s="41">
        <v>253.4</v>
      </c>
      <c r="AH44" s="45">
        <v>487</v>
      </c>
    </row>
    <row r="45" spans="1:34">
      <c r="A45" s="46">
        <v>37</v>
      </c>
      <c r="B45" s="47" t="s">
        <v>64</v>
      </c>
      <c r="C45" s="41">
        <v>312.7</v>
      </c>
      <c r="D45" s="38">
        <v>461.5</v>
      </c>
      <c r="E45" s="41">
        <v>346</v>
      </c>
      <c r="F45" s="41">
        <v>1084.8</v>
      </c>
      <c r="G45" s="37">
        <v>306.8</v>
      </c>
      <c r="H45" s="38">
        <v>1054</v>
      </c>
      <c r="I45" s="41">
        <v>477.6</v>
      </c>
      <c r="J45" s="41">
        <v>1717.4</v>
      </c>
      <c r="K45" s="37">
        <v>402</v>
      </c>
      <c r="L45" s="38">
        <v>1857.5</v>
      </c>
      <c r="M45" s="37">
        <v>289.10000000000002</v>
      </c>
      <c r="N45" s="38">
        <v>583.79999999999995</v>
      </c>
      <c r="O45" s="41">
        <v>320.7</v>
      </c>
      <c r="P45" s="38">
        <v>967.6</v>
      </c>
      <c r="Q45" s="37">
        <v>511.9</v>
      </c>
      <c r="R45" s="45">
        <v>1805.1</v>
      </c>
      <c r="S45" s="41">
        <v>324.60000000000002</v>
      </c>
      <c r="T45" s="38">
        <v>860.6</v>
      </c>
      <c r="U45" s="41">
        <v>398.7</v>
      </c>
      <c r="V45" s="41">
        <v>1601</v>
      </c>
      <c r="W45" s="37">
        <v>267.3</v>
      </c>
      <c r="X45" s="38">
        <v>366.7</v>
      </c>
      <c r="Y45" s="37">
        <v>277.10000000000002</v>
      </c>
      <c r="Z45" s="38">
        <v>452.1</v>
      </c>
      <c r="AA45" s="41">
        <v>395.7</v>
      </c>
      <c r="AB45" s="41">
        <v>1438</v>
      </c>
      <c r="AC45" s="37">
        <v>405.7</v>
      </c>
      <c r="AD45" s="38">
        <v>611.20000000000005</v>
      </c>
      <c r="AE45" s="37">
        <v>294.2</v>
      </c>
      <c r="AF45" s="38">
        <v>934.3</v>
      </c>
      <c r="AG45" s="41">
        <v>269.7</v>
      </c>
      <c r="AH45" s="45">
        <v>547.70000000000005</v>
      </c>
    </row>
    <row r="46" spans="1:34">
      <c r="A46" s="46">
        <v>38</v>
      </c>
      <c r="B46" s="47" t="s">
        <v>65</v>
      </c>
      <c r="C46" s="41">
        <v>229.8</v>
      </c>
      <c r="D46" s="38">
        <v>614.29999999999995</v>
      </c>
      <c r="E46" s="41">
        <v>295.7</v>
      </c>
      <c r="F46" s="41">
        <v>703.6</v>
      </c>
      <c r="G46" s="37">
        <v>304.89999999999998</v>
      </c>
      <c r="H46" s="38">
        <v>1012</v>
      </c>
      <c r="I46" s="41">
        <v>395.4</v>
      </c>
      <c r="J46" s="41">
        <v>1455.7</v>
      </c>
      <c r="K46" s="37">
        <v>391.8</v>
      </c>
      <c r="L46" s="38">
        <v>1301</v>
      </c>
      <c r="M46" s="37">
        <v>288.39999999999998</v>
      </c>
      <c r="N46" s="38">
        <v>593.29999999999995</v>
      </c>
      <c r="O46" s="41">
        <v>308.60000000000002</v>
      </c>
      <c r="P46" s="38">
        <v>932.6</v>
      </c>
      <c r="Q46" s="37">
        <v>507</v>
      </c>
      <c r="R46" s="45">
        <v>1930.7</v>
      </c>
      <c r="S46" s="41">
        <v>300.5</v>
      </c>
      <c r="T46" s="38">
        <v>734.6</v>
      </c>
      <c r="U46" s="41">
        <v>346.3</v>
      </c>
      <c r="V46" s="41">
        <v>979.1</v>
      </c>
      <c r="W46" s="37">
        <v>235.3</v>
      </c>
      <c r="X46" s="38">
        <v>263</v>
      </c>
      <c r="Y46" s="37">
        <v>288.60000000000002</v>
      </c>
      <c r="Z46" s="38">
        <v>476.8</v>
      </c>
      <c r="AA46" s="41">
        <v>382.9</v>
      </c>
      <c r="AB46" s="41">
        <v>1418.1</v>
      </c>
      <c r="AC46" s="37">
        <v>308.89999999999998</v>
      </c>
      <c r="AD46" s="38">
        <v>680</v>
      </c>
      <c r="AE46" s="37">
        <v>339.7</v>
      </c>
      <c r="AF46" s="38">
        <v>1225.2</v>
      </c>
      <c r="AG46" s="41">
        <v>260.5</v>
      </c>
      <c r="AH46" s="45">
        <v>586.29999999999995</v>
      </c>
    </row>
    <row r="47" spans="1:34">
      <c r="A47" s="46">
        <v>39</v>
      </c>
      <c r="B47" s="47" t="s">
        <v>66</v>
      </c>
      <c r="C47" s="41">
        <v>358.1</v>
      </c>
      <c r="D47" s="38">
        <v>1663.3</v>
      </c>
      <c r="E47" s="41">
        <v>284.8</v>
      </c>
      <c r="F47" s="41">
        <v>557.6</v>
      </c>
      <c r="G47" s="37">
        <v>275.8</v>
      </c>
      <c r="H47" s="38">
        <v>894.2</v>
      </c>
      <c r="I47" s="41">
        <v>422.3</v>
      </c>
      <c r="J47" s="41">
        <v>1497.1</v>
      </c>
      <c r="K47" s="37">
        <v>344.3</v>
      </c>
      <c r="L47" s="38">
        <v>1320.1</v>
      </c>
      <c r="M47" s="37">
        <v>258.7</v>
      </c>
      <c r="N47" s="38">
        <v>432.6</v>
      </c>
      <c r="O47" s="41">
        <v>288.7</v>
      </c>
      <c r="P47" s="38">
        <v>781.5</v>
      </c>
      <c r="Q47" s="37">
        <v>432.6</v>
      </c>
      <c r="R47" s="45">
        <v>1505.5</v>
      </c>
      <c r="S47" s="41">
        <v>249.8</v>
      </c>
      <c r="T47" s="38">
        <v>515.1</v>
      </c>
      <c r="U47" s="41">
        <v>365.3</v>
      </c>
      <c r="V47" s="41">
        <v>1008.7</v>
      </c>
      <c r="W47" s="37">
        <v>252.7</v>
      </c>
      <c r="X47" s="38">
        <v>287.10000000000002</v>
      </c>
      <c r="Y47" s="37">
        <v>282.8</v>
      </c>
      <c r="Z47" s="38">
        <v>447.5</v>
      </c>
      <c r="AA47" s="41">
        <v>392.7</v>
      </c>
      <c r="AB47" s="41">
        <v>1289.7</v>
      </c>
      <c r="AC47" s="37">
        <v>321.5</v>
      </c>
      <c r="AD47" s="38">
        <v>671.3</v>
      </c>
      <c r="AE47" s="37">
        <v>310.7</v>
      </c>
      <c r="AF47" s="38">
        <v>985.1</v>
      </c>
      <c r="AG47" s="41">
        <v>250.6</v>
      </c>
      <c r="AH47" s="45">
        <v>420.7</v>
      </c>
    </row>
    <row r="48" spans="1:34">
      <c r="A48" s="51">
        <v>40</v>
      </c>
      <c r="B48" s="52" t="s">
        <v>67</v>
      </c>
      <c r="C48" s="41">
        <v>401.8</v>
      </c>
      <c r="D48" s="38">
        <v>1168.0999999999999</v>
      </c>
      <c r="E48" s="41">
        <v>371.8</v>
      </c>
      <c r="F48" s="41">
        <v>1255</v>
      </c>
      <c r="G48" s="37">
        <v>300.39999999999998</v>
      </c>
      <c r="H48" s="38">
        <v>1011.4</v>
      </c>
      <c r="I48" s="41">
        <v>431.9</v>
      </c>
      <c r="J48" s="41">
        <v>1661.3</v>
      </c>
      <c r="K48" s="37">
        <v>362</v>
      </c>
      <c r="L48" s="38">
        <v>1208.5</v>
      </c>
      <c r="M48" s="37">
        <v>286.39999999999998</v>
      </c>
      <c r="N48" s="38">
        <v>689.7</v>
      </c>
      <c r="O48" s="41">
        <v>353.4</v>
      </c>
      <c r="P48" s="38">
        <v>1218.2</v>
      </c>
      <c r="Q48" s="37">
        <v>483.9</v>
      </c>
      <c r="R48" s="45">
        <v>1790.1</v>
      </c>
      <c r="S48" s="41">
        <v>349.7</v>
      </c>
      <c r="T48" s="38">
        <v>1163.2</v>
      </c>
      <c r="U48" s="41">
        <v>383.6</v>
      </c>
      <c r="V48" s="41">
        <v>1678.6</v>
      </c>
      <c r="W48" s="37">
        <v>299.2</v>
      </c>
      <c r="X48" s="38">
        <v>476.7</v>
      </c>
      <c r="Y48" s="37">
        <v>297.39999999999998</v>
      </c>
      <c r="Z48" s="38">
        <v>602.29999999999995</v>
      </c>
      <c r="AA48" s="41">
        <v>400.4</v>
      </c>
      <c r="AB48" s="41">
        <v>1261.5</v>
      </c>
      <c r="AC48" s="37">
        <v>450.1</v>
      </c>
      <c r="AD48" s="38">
        <v>960</v>
      </c>
      <c r="AE48" s="37">
        <v>321.89999999999998</v>
      </c>
      <c r="AF48" s="38">
        <v>1115.9000000000001</v>
      </c>
      <c r="AG48" s="41">
        <v>273.10000000000002</v>
      </c>
      <c r="AH48" s="45">
        <v>557.6</v>
      </c>
    </row>
    <row r="49" spans="1:34" ht="21" customHeight="1">
      <c r="A49" s="46">
        <v>41</v>
      </c>
      <c r="B49" s="47" t="s">
        <v>68</v>
      </c>
      <c r="C49" s="41">
        <v>276.60000000000002</v>
      </c>
      <c r="D49" s="38">
        <v>497.6</v>
      </c>
      <c r="E49" s="41">
        <v>274.60000000000002</v>
      </c>
      <c r="F49" s="41">
        <v>758.2</v>
      </c>
      <c r="G49" s="37">
        <v>298.60000000000002</v>
      </c>
      <c r="H49" s="38">
        <v>1106.4000000000001</v>
      </c>
      <c r="I49" s="41">
        <v>383.9</v>
      </c>
      <c r="J49" s="41">
        <v>1272.2</v>
      </c>
      <c r="K49" s="37">
        <v>308.2</v>
      </c>
      <c r="L49" s="38">
        <v>835.5</v>
      </c>
      <c r="M49" s="37">
        <v>257.89999999999998</v>
      </c>
      <c r="N49" s="38">
        <v>473.3</v>
      </c>
      <c r="O49" s="41">
        <v>301.39999999999998</v>
      </c>
      <c r="P49" s="38">
        <v>798.4</v>
      </c>
      <c r="Q49" s="37">
        <v>383.5</v>
      </c>
      <c r="R49" s="45">
        <v>1581.3</v>
      </c>
      <c r="S49" s="41">
        <v>325.10000000000002</v>
      </c>
      <c r="T49" s="38">
        <v>830.9</v>
      </c>
      <c r="U49" s="41">
        <v>316</v>
      </c>
      <c r="V49" s="41">
        <v>1042.4000000000001</v>
      </c>
      <c r="W49" s="37">
        <v>245.7</v>
      </c>
      <c r="X49" s="38">
        <v>296.3</v>
      </c>
      <c r="Y49" s="37">
        <v>299.89999999999998</v>
      </c>
      <c r="Z49" s="38">
        <v>534.20000000000005</v>
      </c>
      <c r="AA49" s="41">
        <v>346.2</v>
      </c>
      <c r="AB49" s="41">
        <v>1039.8</v>
      </c>
      <c r="AC49" s="37">
        <v>357.9</v>
      </c>
      <c r="AD49" s="38">
        <v>672</v>
      </c>
      <c r="AE49" s="37">
        <v>323.3</v>
      </c>
      <c r="AF49" s="38">
        <v>1101</v>
      </c>
      <c r="AG49" s="41">
        <v>280.10000000000002</v>
      </c>
      <c r="AH49" s="45">
        <v>553.29999999999995</v>
      </c>
    </row>
    <row r="50" spans="1:34">
      <c r="A50" s="46">
        <v>42</v>
      </c>
      <c r="B50" s="47" t="s">
        <v>69</v>
      </c>
      <c r="C50" s="41">
        <v>309.10000000000002</v>
      </c>
      <c r="D50" s="38">
        <v>614.79999999999995</v>
      </c>
      <c r="E50" s="41">
        <v>278.7</v>
      </c>
      <c r="F50" s="41">
        <v>795.6</v>
      </c>
      <c r="G50" s="37">
        <v>297</v>
      </c>
      <c r="H50" s="38">
        <v>964.5</v>
      </c>
      <c r="I50" s="41">
        <v>403</v>
      </c>
      <c r="J50" s="41">
        <v>1257.7</v>
      </c>
      <c r="K50" s="37">
        <v>326.89999999999998</v>
      </c>
      <c r="L50" s="38">
        <v>949.9</v>
      </c>
      <c r="M50" s="37">
        <v>250.8</v>
      </c>
      <c r="N50" s="38">
        <v>406</v>
      </c>
      <c r="O50" s="41">
        <v>296.10000000000002</v>
      </c>
      <c r="P50" s="38">
        <v>822</v>
      </c>
      <c r="Q50" s="37">
        <v>438.7</v>
      </c>
      <c r="R50" s="45">
        <v>1635.8</v>
      </c>
      <c r="S50" s="41">
        <v>304.39999999999998</v>
      </c>
      <c r="T50" s="38">
        <v>762.4</v>
      </c>
      <c r="U50" s="41">
        <v>398.7</v>
      </c>
      <c r="V50" s="41">
        <v>1718.9</v>
      </c>
      <c r="W50" s="37">
        <v>267.7</v>
      </c>
      <c r="X50" s="38">
        <v>306.2</v>
      </c>
      <c r="Y50" s="37">
        <v>265.8</v>
      </c>
      <c r="Z50" s="38">
        <v>501.5</v>
      </c>
      <c r="AA50" s="41">
        <v>369.6</v>
      </c>
      <c r="AB50" s="41">
        <v>1139.3</v>
      </c>
      <c r="AC50" s="37">
        <v>370</v>
      </c>
      <c r="AD50" s="38">
        <v>743.4</v>
      </c>
      <c r="AE50" s="37">
        <v>302.89999999999998</v>
      </c>
      <c r="AF50" s="38">
        <v>1077.8</v>
      </c>
      <c r="AG50" s="41">
        <v>259.7</v>
      </c>
      <c r="AH50" s="45">
        <v>541.6</v>
      </c>
    </row>
    <row r="51" spans="1:34">
      <c r="A51" s="46">
        <v>43</v>
      </c>
      <c r="B51" s="47" t="s">
        <v>70</v>
      </c>
      <c r="C51" s="41">
        <v>261.7</v>
      </c>
      <c r="D51" s="38">
        <v>458.8</v>
      </c>
      <c r="E51" s="41">
        <v>315</v>
      </c>
      <c r="F51" s="41">
        <v>1090.9000000000001</v>
      </c>
      <c r="G51" s="37">
        <v>312.3</v>
      </c>
      <c r="H51" s="38">
        <v>1174.8</v>
      </c>
      <c r="I51" s="41">
        <v>369.7</v>
      </c>
      <c r="J51" s="41">
        <v>1232.0999999999999</v>
      </c>
      <c r="K51" s="37">
        <v>346.8</v>
      </c>
      <c r="L51" s="38">
        <v>1363.9</v>
      </c>
      <c r="M51" s="37">
        <v>273</v>
      </c>
      <c r="N51" s="38">
        <v>429.1</v>
      </c>
      <c r="O51" s="41">
        <v>290.39999999999998</v>
      </c>
      <c r="P51" s="38">
        <v>845.8</v>
      </c>
      <c r="Q51" s="37">
        <v>486.7</v>
      </c>
      <c r="R51" s="45">
        <v>1282.5</v>
      </c>
      <c r="S51" s="41">
        <v>311.8</v>
      </c>
      <c r="T51" s="38">
        <v>801.2</v>
      </c>
      <c r="U51" s="41">
        <v>363.2</v>
      </c>
      <c r="V51" s="41">
        <v>1326.2</v>
      </c>
      <c r="W51" s="37">
        <v>268.5</v>
      </c>
      <c r="X51" s="38">
        <v>360.9</v>
      </c>
      <c r="Y51" s="37">
        <v>289.7</v>
      </c>
      <c r="Z51" s="38">
        <v>474.3</v>
      </c>
      <c r="AA51" s="41">
        <v>364.9</v>
      </c>
      <c r="AB51" s="41">
        <v>1197</v>
      </c>
      <c r="AC51" s="37">
        <v>377.2</v>
      </c>
      <c r="AD51" s="38">
        <v>811</v>
      </c>
      <c r="AE51" s="37">
        <v>309.39999999999998</v>
      </c>
      <c r="AF51" s="38">
        <v>1030.2</v>
      </c>
      <c r="AG51" s="41">
        <v>244.8</v>
      </c>
      <c r="AH51" s="45">
        <v>325</v>
      </c>
    </row>
    <row r="52" spans="1:34">
      <c r="A52" s="46">
        <v>44</v>
      </c>
      <c r="B52" s="47" t="s">
        <v>71</v>
      </c>
      <c r="C52" s="41">
        <v>318.89999999999998</v>
      </c>
      <c r="D52" s="38">
        <v>1192.9000000000001</v>
      </c>
      <c r="E52" s="41">
        <v>329.3</v>
      </c>
      <c r="F52" s="41">
        <v>933</v>
      </c>
      <c r="G52" s="37">
        <v>308.8</v>
      </c>
      <c r="H52" s="38">
        <v>1120.2</v>
      </c>
      <c r="I52" s="41">
        <v>404.6</v>
      </c>
      <c r="J52" s="41">
        <v>1340.7</v>
      </c>
      <c r="K52" s="37">
        <v>326.8</v>
      </c>
      <c r="L52" s="38">
        <v>1139.8</v>
      </c>
      <c r="M52" s="37">
        <v>262.39999999999998</v>
      </c>
      <c r="N52" s="38">
        <v>439.5</v>
      </c>
      <c r="O52" s="41">
        <v>307.89999999999998</v>
      </c>
      <c r="P52" s="38">
        <v>898.3</v>
      </c>
      <c r="Q52" s="37">
        <v>388.1</v>
      </c>
      <c r="R52" s="45">
        <v>2005.5</v>
      </c>
      <c r="S52" s="41">
        <v>312.10000000000002</v>
      </c>
      <c r="T52" s="38">
        <v>1108.0999999999999</v>
      </c>
      <c r="U52" s="41">
        <v>328.1</v>
      </c>
      <c r="V52" s="41">
        <v>1133.2</v>
      </c>
      <c r="W52" s="37">
        <v>276.2</v>
      </c>
      <c r="X52" s="38">
        <v>392.3</v>
      </c>
      <c r="Y52" s="37">
        <v>275.89999999999998</v>
      </c>
      <c r="Z52" s="38">
        <v>438.8</v>
      </c>
      <c r="AA52" s="41">
        <v>382.4</v>
      </c>
      <c r="AB52" s="41">
        <v>1441.2</v>
      </c>
      <c r="AC52" s="37">
        <v>402.1</v>
      </c>
      <c r="AD52" s="38">
        <v>610.20000000000005</v>
      </c>
      <c r="AE52" s="37">
        <v>301.89999999999998</v>
      </c>
      <c r="AF52" s="38">
        <v>875.2</v>
      </c>
      <c r="AG52" s="41">
        <v>257.2</v>
      </c>
      <c r="AH52" s="45">
        <v>540</v>
      </c>
    </row>
    <row r="53" spans="1:34">
      <c r="A53" s="51">
        <v>45</v>
      </c>
      <c r="B53" s="52" t="s">
        <v>72</v>
      </c>
      <c r="C53" s="41">
        <v>240.6</v>
      </c>
      <c r="D53" s="38">
        <v>422.3</v>
      </c>
      <c r="E53" s="41">
        <v>304.8</v>
      </c>
      <c r="F53" s="41">
        <v>968.3</v>
      </c>
      <c r="G53" s="37">
        <v>277</v>
      </c>
      <c r="H53" s="38">
        <v>949.3</v>
      </c>
      <c r="I53" s="41">
        <v>439.8</v>
      </c>
      <c r="J53" s="41">
        <v>1531.2</v>
      </c>
      <c r="K53" s="37">
        <v>319.39999999999998</v>
      </c>
      <c r="L53" s="38">
        <v>916.2</v>
      </c>
      <c r="M53" s="37">
        <v>257.10000000000002</v>
      </c>
      <c r="N53" s="38">
        <v>374</v>
      </c>
      <c r="O53" s="41">
        <v>286.8</v>
      </c>
      <c r="P53" s="38">
        <v>703.8</v>
      </c>
      <c r="Q53" s="37">
        <v>407</v>
      </c>
      <c r="R53" s="45">
        <v>1639.4</v>
      </c>
      <c r="S53" s="41">
        <v>280.39999999999998</v>
      </c>
      <c r="T53" s="38">
        <v>796.8</v>
      </c>
      <c r="U53" s="41">
        <v>321</v>
      </c>
      <c r="V53" s="41">
        <v>1156.5999999999999</v>
      </c>
      <c r="W53" s="37">
        <v>237.5</v>
      </c>
      <c r="X53" s="38">
        <v>262.2</v>
      </c>
      <c r="Y53" s="37">
        <v>277.5</v>
      </c>
      <c r="Z53" s="38">
        <v>520</v>
      </c>
      <c r="AA53" s="41">
        <v>331.8</v>
      </c>
      <c r="AB53" s="41">
        <v>1070.5</v>
      </c>
      <c r="AC53" s="37">
        <v>310.2</v>
      </c>
      <c r="AD53" s="38">
        <v>654.9</v>
      </c>
      <c r="AE53" s="37">
        <v>286.3</v>
      </c>
      <c r="AF53" s="38">
        <v>946.9</v>
      </c>
      <c r="AG53" s="41">
        <v>244.4</v>
      </c>
      <c r="AH53" s="45">
        <v>518.9</v>
      </c>
    </row>
    <row r="54" spans="1:34" ht="21" customHeight="1">
      <c r="A54" s="51">
        <v>46</v>
      </c>
      <c r="B54" s="52" t="s">
        <v>73</v>
      </c>
      <c r="C54" s="41">
        <v>338.2</v>
      </c>
      <c r="D54" s="38">
        <v>1385.8</v>
      </c>
      <c r="E54" s="41">
        <v>321.60000000000002</v>
      </c>
      <c r="F54" s="41">
        <v>903.6</v>
      </c>
      <c r="G54" s="37">
        <v>292.7</v>
      </c>
      <c r="H54" s="38">
        <v>1002.3</v>
      </c>
      <c r="I54" s="41">
        <v>420.2</v>
      </c>
      <c r="J54" s="41">
        <v>1349.9</v>
      </c>
      <c r="K54" s="37">
        <v>364.3</v>
      </c>
      <c r="L54" s="38">
        <v>1076.7</v>
      </c>
      <c r="M54" s="37">
        <v>274.2</v>
      </c>
      <c r="N54" s="38">
        <v>542.70000000000005</v>
      </c>
      <c r="O54" s="41">
        <v>292.39999999999998</v>
      </c>
      <c r="P54" s="38">
        <v>753</v>
      </c>
      <c r="Q54" s="37">
        <v>432.7</v>
      </c>
      <c r="R54" s="45">
        <v>1996</v>
      </c>
      <c r="S54" s="41">
        <v>311.10000000000002</v>
      </c>
      <c r="T54" s="38">
        <v>715.4</v>
      </c>
      <c r="U54" s="41">
        <v>334.7</v>
      </c>
      <c r="V54" s="41">
        <v>935.4</v>
      </c>
      <c r="W54" s="37">
        <v>243.1</v>
      </c>
      <c r="X54" s="38">
        <v>258.3</v>
      </c>
      <c r="Y54" s="37">
        <v>267.60000000000002</v>
      </c>
      <c r="Z54" s="38">
        <v>510.1</v>
      </c>
      <c r="AA54" s="41">
        <v>380</v>
      </c>
      <c r="AB54" s="41">
        <v>1451.2</v>
      </c>
      <c r="AC54" s="37">
        <v>314.7</v>
      </c>
      <c r="AD54" s="38">
        <v>636.5</v>
      </c>
      <c r="AE54" s="37">
        <v>285</v>
      </c>
      <c r="AF54" s="38">
        <v>909</v>
      </c>
      <c r="AG54" s="41">
        <v>269.60000000000002</v>
      </c>
      <c r="AH54" s="45">
        <v>698.7</v>
      </c>
    </row>
    <row r="55" spans="1:34" ht="15" thickBot="1">
      <c r="A55" s="53">
        <v>47</v>
      </c>
      <c r="B55" s="54" t="s">
        <v>74</v>
      </c>
      <c r="C55" s="60">
        <v>261.89999999999998</v>
      </c>
      <c r="D55" s="57">
        <v>534.4</v>
      </c>
      <c r="E55" s="60">
        <v>294.2</v>
      </c>
      <c r="F55" s="60">
        <v>698.6</v>
      </c>
      <c r="G55" s="56">
        <v>245</v>
      </c>
      <c r="H55" s="57">
        <v>494.8</v>
      </c>
      <c r="I55" s="60">
        <v>482.7</v>
      </c>
      <c r="J55" s="60">
        <v>1645.1</v>
      </c>
      <c r="K55" s="56">
        <v>314.5</v>
      </c>
      <c r="L55" s="57">
        <v>787.7</v>
      </c>
      <c r="M55" s="56">
        <v>275.89999999999998</v>
      </c>
      <c r="N55" s="57">
        <v>441.6</v>
      </c>
      <c r="O55" s="60">
        <v>268</v>
      </c>
      <c r="P55" s="57">
        <v>702.3</v>
      </c>
      <c r="Q55" s="56">
        <v>476.1</v>
      </c>
      <c r="R55" s="63">
        <v>1297</v>
      </c>
      <c r="S55" s="60">
        <v>298</v>
      </c>
      <c r="T55" s="57">
        <v>650.6</v>
      </c>
      <c r="U55" s="60">
        <v>320.89999999999998</v>
      </c>
      <c r="V55" s="60">
        <v>684.4</v>
      </c>
      <c r="W55" s="56">
        <v>255.7</v>
      </c>
      <c r="X55" s="57">
        <v>193.4</v>
      </c>
      <c r="Y55" s="56">
        <v>261.7</v>
      </c>
      <c r="Z55" s="57">
        <v>447.6</v>
      </c>
      <c r="AA55" s="60">
        <v>362.4</v>
      </c>
      <c r="AB55" s="60">
        <v>1093.0999999999999</v>
      </c>
      <c r="AC55" s="56">
        <v>296.60000000000002</v>
      </c>
      <c r="AD55" s="57">
        <v>556.1</v>
      </c>
      <c r="AE55" s="56">
        <v>311.7</v>
      </c>
      <c r="AF55" s="57">
        <v>984.2</v>
      </c>
      <c r="AG55" s="60">
        <v>260.2</v>
      </c>
      <c r="AH55" s="63">
        <v>364.2</v>
      </c>
    </row>
    <row r="56" spans="1:34">
      <c r="AE56" s="73"/>
    </row>
  </sheetData>
  <mergeCells count="19">
    <mergeCell ref="A2:B2"/>
    <mergeCell ref="A4:B6"/>
    <mergeCell ref="C4:D4"/>
    <mergeCell ref="E4:F4"/>
    <mergeCell ref="G4:H4"/>
    <mergeCell ref="AE4:AF4"/>
    <mergeCell ref="AG4:AH4"/>
    <mergeCell ref="K4:L4"/>
    <mergeCell ref="M4:N4"/>
    <mergeCell ref="O4:P4"/>
    <mergeCell ref="Q4:R4"/>
    <mergeCell ref="S4:T4"/>
    <mergeCell ref="U4:V4"/>
    <mergeCell ref="A8:B8"/>
    <mergeCell ref="W4:X4"/>
    <mergeCell ref="Y4:Z4"/>
    <mergeCell ref="AA4:AB4"/>
    <mergeCell ref="AC4:AD4"/>
    <mergeCell ref="I4:J4"/>
  </mergeCells>
  <phoneticPr fontId="2"/>
  <printOptions horizontalCentered="1"/>
  <pageMargins left="0.15748031496062992" right="0.15748031496062992" top="0.98425196850393704" bottom="0.98425196850393704" header="0.51181102362204722" footer="0.51181102362204722"/>
  <pageSetup paperSize="9" scale="71" orientation="portrait" r:id="rId1"/>
  <headerFooter alignWithMargins="0"/>
  <colBreaks count="1" manualBreakCount="1">
    <brk id="18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6AAE3-28D6-4FC3-B06E-61AFF59A1A0A}">
  <sheetPr codeName="Sheet12"/>
  <dimension ref="A1:AH55"/>
  <sheetViews>
    <sheetView showGridLines="0" view="pageBreakPreview" zoomScaleNormal="100" zoomScaleSheetLayoutView="100" workbookViewId="0">
      <pane xSplit="2" ySplit="7" topLeftCell="C8" activePane="bottomRight" state="frozen"/>
      <selection pane="topRight"/>
      <selection pane="bottomLeft"/>
      <selection pane="bottomRight"/>
    </sheetView>
  </sheetViews>
  <sheetFormatPr baseColWidth="10" defaultColWidth="9" defaultRowHeight="14"/>
  <cols>
    <col min="1" max="1" width="3.83203125" style="1" customWidth="1"/>
    <col min="2" max="2" width="8.1640625" style="1" customWidth="1"/>
    <col min="3" max="34" width="7.6640625" style="1" customWidth="1"/>
    <col min="35" max="16384" width="9" style="1"/>
  </cols>
  <sheetData>
    <row r="1" spans="1:34" ht="12.75" customHeight="1">
      <c r="C1" t="s">
        <v>0</v>
      </c>
      <c r="S1" t="s">
        <v>0</v>
      </c>
    </row>
    <row r="2" spans="1:34" s="3" customFormat="1" ht="24.75" customHeight="1">
      <c r="A2" s="90" t="s">
        <v>1</v>
      </c>
      <c r="B2" s="90"/>
      <c r="C2" s="2" t="s">
        <v>77</v>
      </c>
      <c r="E2" s="4"/>
      <c r="S2" s="2" t="s">
        <v>77</v>
      </c>
      <c r="AA2" s="4"/>
    </row>
    <row r="3" spans="1:34" ht="15" thickBot="1">
      <c r="B3" s="5"/>
      <c r="C3" s="5"/>
      <c r="D3" s="5"/>
      <c r="R3" s="6" t="s">
        <v>3</v>
      </c>
      <c r="AD3" s="6"/>
      <c r="AE3" s="6"/>
      <c r="AF3" s="6"/>
      <c r="AH3" s="6" t="s">
        <v>3</v>
      </c>
    </row>
    <row r="4" spans="1:34" ht="28.5" customHeight="1">
      <c r="A4" s="91" t="s">
        <v>4</v>
      </c>
      <c r="B4" s="92"/>
      <c r="C4" s="97" t="s">
        <v>5</v>
      </c>
      <c r="D4" s="98"/>
      <c r="E4" s="83" t="s">
        <v>6</v>
      </c>
      <c r="F4" s="84"/>
      <c r="G4" s="83" t="s">
        <v>7</v>
      </c>
      <c r="H4" s="84"/>
      <c r="I4" s="79" t="s">
        <v>8</v>
      </c>
      <c r="J4" s="78"/>
      <c r="K4" s="83" t="s">
        <v>9</v>
      </c>
      <c r="L4" s="84"/>
      <c r="M4" s="79" t="s">
        <v>10</v>
      </c>
      <c r="N4" s="84"/>
      <c r="O4" s="78" t="s">
        <v>11</v>
      </c>
      <c r="P4" s="84"/>
      <c r="Q4" s="79" t="s">
        <v>12</v>
      </c>
      <c r="R4" s="86"/>
      <c r="S4" s="78" t="s">
        <v>13</v>
      </c>
      <c r="T4" s="78"/>
      <c r="U4" s="88" t="s">
        <v>14</v>
      </c>
      <c r="V4" s="89"/>
      <c r="W4" s="78" t="s">
        <v>15</v>
      </c>
      <c r="X4" s="78"/>
      <c r="Y4" s="79" t="s">
        <v>16</v>
      </c>
      <c r="Z4" s="78"/>
      <c r="AA4" s="79" t="s">
        <v>17</v>
      </c>
      <c r="AB4" s="80"/>
      <c r="AC4" s="79" t="s">
        <v>18</v>
      </c>
      <c r="AD4" s="80"/>
      <c r="AE4" s="79" t="s">
        <v>19</v>
      </c>
      <c r="AF4" s="80"/>
      <c r="AG4" s="81" t="s">
        <v>20</v>
      </c>
      <c r="AH4" s="82"/>
    </row>
    <row r="5" spans="1:34" s="18" customFormat="1">
      <c r="A5" s="93"/>
      <c r="B5" s="94"/>
      <c r="C5" s="7" t="s">
        <v>21</v>
      </c>
      <c r="D5" s="8" t="s">
        <v>22</v>
      </c>
      <c r="E5" s="9" t="s">
        <v>21</v>
      </c>
      <c r="F5" s="10" t="s">
        <v>22</v>
      </c>
      <c r="G5" s="9" t="s">
        <v>21</v>
      </c>
      <c r="H5" s="10" t="s">
        <v>22</v>
      </c>
      <c r="I5" s="11" t="s">
        <v>21</v>
      </c>
      <c r="J5" s="8" t="s">
        <v>22</v>
      </c>
      <c r="K5" s="9" t="s">
        <v>21</v>
      </c>
      <c r="L5" s="12" t="s">
        <v>22</v>
      </c>
      <c r="M5" s="9" t="s">
        <v>21</v>
      </c>
      <c r="N5" s="10" t="s">
        <v>23</v>
      </c>
      <c r="O5" s="11" t="s">
        <v>21</v>
      </c>
      <c r="P5" s="10" t="s">
        <v>22</v>
      </c>
      <c r="Q5" s="14" t="s">
        <v>21</v>
      </c>
      <c r="R5" s="15" t="s">
        <v>22</v>
      </c>
      <c r="S5" s="16" t="s">
        <v>21</v>
      </c>
      <c r="T5" s="8" t="s">
        <v>22</v>
      </c>
      <c r="U5" s="14" t="s">
        <v>21</v>
      </c>
      <c r="V5" s="12" t="s">
        <v>22</v>
      </c>
      <c r="W5" s="16" t="s">
        <v>21</v>
      </c>
      <c r="X5" s="8" t="s">
        <v>22</v>
      </c>
      <c r="Y5" s="14" t="s">
        <v>21</v>
      </c>
      <c r="Z5" s="8" t="s">
        <v>22</v>
      </c>
      <c r="AA5" s="9" t="s">
        <v>21</v>
      </c>
      <c r="AB5" s="10" t="s">
        <v>22</v>
      </c>
      <c r="AC5" s="9" t="s">
        <v>21</v>
      </c>
      <c r="AD5" s="10" t="s">
        <v>22</v>
      </c>
      <c r="AE5" s="14" t="s">
        <v>21</v>
      </c>
      <c r="AF5" s="12" t="s">
        <v>22</v>
      </c>
      <c r="AG5" s="11" t="s">
        <v>21</v>
      </c>
      <c r="AH5" s="17" t="s">
        <v>22</v>
      </c>
    </row>
    <row r="6" spans="1:34" ht="15" thickBot="1">
      <c r="A6" s="95"/>
      <c r="B6" s="96"/>
      <c r="C6" s="19" t="s">
        <v>24</v>
      </c>
      <c r="D6" s="20" t="s">
        <v>25</v>
      </c>
      <c r="E6" s="21" t="s">
        <v>24</v>
      </c>
      <c r="F6" s="22" t="s">
        <v>25</v>
      </c>
      <c r="G6" s="21" t="s">
        <v>24</v>
      </c>
      <c r="H6" s="22" t="s">
        <v>25</v>
      </c>
      <c r="I6" s="23" t="s">
        <v>24</v>
      </c>
      <c r="J6" s="20" t="s">
        <v>25</v>
      </c>
      <c r="K6" s="21" t="s">
        <v>24</v>
      </c>
      <c r="L6" s="22" t="s">
        <v>25</v>
      </c>
      <c r="M6" s="21" t="s">
        <v>24</v>
      </c>
      <c r="N6" s="22" t="s">
        <v>25</v>
      </c>
      <c r="O6" s="23" t="s">
        <v>24</v>
      </c>
      <c r="P6" s="22" t="s">
        <v>25</v>
      </c>
      <c r="Q6" s="21" t="s">
        <v>24</v>
      </c>
      <c r="R6" s="24" t="s">
        <v>25</v>
      </c>
      <c r="S6" s="23" t="s">
        <v>24</v>
      </c>
      <c r="T6" s="20" t="s">
        <v>25</v>
      </c>
      <c r="U6" s="21" t="s">
        <v>24</v>
      </c>
      <c r="V6" s="22" t="s">
        <v>25</v>
      </c>
      <c r="W6" s="23" t="s">
        <v>24</v>
      </c>
      <c r="X6" s="20" t="s">
        <v>25</v>
      </c>
      <c r="Y6" s="21" t="s">
        <v>24</v>
      </c>
      <c r="Z6" s="20" t="s">
        <v>25</v>
      </c>
      <c r="AA6" s="21" t="s">
        <v>24</v>
      </c>
      <c r="AB6" s="22" t="s">
        <v>25</v>
      </c>
      <c r="AC6" s="21" t="s">
        <v>24</v>
      </c>
      <c r="AD6" s="22" t="s">
        <v>25</v>
      </c>
      <c r="AE6" s="21" t="s">
        <v>24</v>
      </c>
      <c r="AF6" s="22" t="s">
        <v>25</v>
      </c>
      <c r="AG6" s="23" t="s">
        <v>24</v>
      </c>
      <c r="AH6" s="24" t="s">
        <v>25</v>
      </c>
    </row>
    <row r="7" spans="1:34" ht="7.5" customHeight="1">
      <c r="A7" s="25"/>
      <c r="B7" s="26"/>
      <c r="C7" s="25"/>
      <c r="D7" s="27"/>
      <c r="E7" s="28"/>
      <c r="F7" s="29"/>
      <c r="G7" s="28"/>
      <c r="H7" s="29"/>
      <c r="I7" s="28"/>
      <c r="J7" s="30"/>
      <c r="K7" s="28"/>
      <c r="L7" s="29"/>
      <c r="M7" s="28"/>
      <c r="N7" s="29"/>
      <c r="O7" s="30"/>
      <c r="P7" s="29"/>
      <c r="Q7" s="28"/>
      <c r="R7" s="33"/>
      <c r="S7" s="30"/>
      <c r="T7" s="30"/>
      <c r="U7" s="28"/>
      <c r="V7" s="29"/>
      <c r="W7" s="30"/>
      <c r="X7" s="30"/>
      <c r="Y7" s="28"/>
      <c r="Z7" s="30"/>
      <c r="AA7" s="28"/>
      <c r="AB7" s="29"/>
      <c r="AC7" s="28"/>
      <c r="AD7" s="29"/>
      <c r="AE7" s="28"/>
      <c r="AF7" s="29"/>
      <c r="AG7" s="30"/>
      <c r="AH7" s="33"/>
    </row>
    <row r="8" spans="1:34" ht="13.5" customHeight="1">
      <c r="A8" s="76" t="s">
        <v>26</v>
      </c>
      <c r="B8" s="77"/>
      <c r="C8" s="35">
        <v>318.5</v>
      </c>
      <c r="D8" s="36">
        <v>1194.7</v>
      </c>
      <c r="E8" s="37">
        <v>275.7</v>
      </c>
      <c r="F8" s="38">
        <v>775</v>
      </c>
      <c r="G8" s="37">
        <v>243.7</v>
      </c>
      <c r="H8" s="38">
        <v>646.79999999999995</v>
      </c>
      <c r="I8" s="35">
        <v>348.6</v>
      </c>
      <c r="J8" s="40">
        <v>1147.5</v>
      </c>
      <c r="K8" s="36">
        <v>333.8</v>
      </c>
      <c r="L8" s="36">
        <v>957.4</v>
      </c>
      <c r="M8" s="37">
        <v>267.7</v>
      </c>
      <c r="N8" s="38">
        <v>673.4</v>
      </c>
      <c r="O8" s="41">
        <v>266.5</v>
      </c>
      <c r="P8" s="38">
        <v>644.70000000000005</v>
      </c>
      <c r="Q8" s="44">
        <v>323.60000000000002</v>
      </c>
      <c r="R8" s="42">
        <v>973.1</v>
      </c>
      <c r="S8" s="36">
        <v>293.10000000000002</v>
      </c>
      <c r="T8" s="36">
        <v>807.7</v>
      </c>
      <c r="U8" s="44">
        <v>321.3</v>
      </c>
      <c r="V8" s="40">
        <v>960</v>
      </c>
      <c r="W8" s="36">
        <v>233.7</v>
      </c>
      <c r="X8" s="36">
        <v>293.5</v>
      </c>
      <c r="Y8" s="44">
        <v>248.4</v>
      </c>
      <c r="Z8" s="40">
        <v>330.1</v>
      </c>
      <c r="AA8" s="36">
        <v>323.5</v>
      </c>
      <c r="AB8" s="36">
        <v>1024</v>
      </c>
      <c r="AC8" s="37">
        <v>282.10000000000002</v>
      </c>
      <c r="AD8" s="38">
        <v>662.4</v>
      </c>
      <c r="AE8" s="44">
        <v>252.8</v>
      </c>
      <c r="AF8" s="40">
        <v>805.6</v>
      </c>
      <c r="AG8" s="41">
        <v>248.4</v>
      </c>
      <c r="AH8" s="45">
        <v>333.9</v>
      </c>
    </row>
    <row r="9" spans="1:34" ht="21" customHeight="1">
      <c r="A9" s="46">
        <v>1</v>
      </c>
      <c r="B9" s="47" t="s">
        <v>27</v>
      </c>
      <c r="C9" s="35">
        <v>226.6</v>
      </c>
      <c r="D9" s="35">
        <v>712.5</v>
      </c>
      <c r="E9" s="37">
        <v>265.5</v>
      </c>
      <c r="F9" s="38">
        <v>808.7</v>
      </c>
      <c r="G9" s="37">
        <v>202</v>
      </c>
      <c r="H9" s="38">
        <v>455.3</v>
      </c>
      <c r="I9" s="35">
        <v>252.8</v>
      </c>
      <c r="J9" s="35">
        <v>768.1</v>
      </c>
      <c r="K9" s="39">
        <v>272.8</v>
      </c>
      <c r="L9" s="48">
        <v>718.3</v>
      </c>
      <c r="M9" s="37">
        <v>284.5</v>
      </c>
      <c r="N9" s="38">
        <v>707.7</v>
      </c>
      <c r="O9" s="41">
        <v>232</v>
      </c>
      <c r="P9" s="38">
        <v>439.9</v>
      </c>
      <c r="Q9" s="39">
        <v>275.39999999999998</v>
      </c>
      <c r="R9" s="49">
        <v>652.5</v>
      </c>
      <c r="S9" s="35">
        <v>243.4</v>
      </c>
      <c r="T9" s="35">
        <v>560.1</v>
      </c>
      <c r="U9" s="39">
        <v>251.8</v>
      </c>
      <c r="V9" s="48">
        <v>714.5</v>
      </c>
      <c r="W9" s="35">
        <v>230.1</v>
      </c>
      <c r="X9" s="35">
        <v>338.1</v>
      </c>
      <c r="Y9" s="39">
        <v>222.2</v>
      </c>
      <c r="Z9" s="35">
        <v>264.5</v>
      </c>
      <c r="AA9" s="39">
        <v>281.8</v>
      </c>
      <c r="AB9" s="48">
        <v>764.6</v>
      </c>
      <c r="AC9" s="37">
        <v>265.3</v>
      </c>
      <c r="AD9" s="38">
        <v>612.79999999999995</v>
      </c>
      <c r="AE9" s="39">
        <v>224</v>
      </c>
      <c r="AF9" s="48">
        <v>755.6</v>
      </c>
      <c r="AG9" s="41">
        <v>223</v>
      </c>
      <c r="AH9" s="45">
        <v>314.7</v>
      </c>
    </row>
    <row r="10" spans="1:34">
      <c r="A10" s="46">
        <v>2</v>
      </c>
      <c r="B10" s="47" t="s">
        <v>28</v>
      </c>
      <c r="C10" s="35">
        <v>244.8</v>
      </c>
      <c r="D10" s="35">
        <v>898.4</v>
      </c>
      <c r="E10" s="37">
        <v>220.6</v>
      </c>
      <c r="F10" s="38">
        <v>561.5</v>
      </c>
      <c r="G10" s="37">
        <v>178.3</v>
      </c>
      <c r="H10" s="38">
        <v>247.1</v>
      </c>
      <c r="I10" s="35">
        <v>239.6</v>
      </c>
      <c r="J10" s="35">
        <v>947.8</v>
      </c>
      <c r="K10" s="39">
        <v>249.2</v>
      </c>
      <c r="L10" s="48">
        <v>574.6</v>
      </c>
      <c r="M10" s="37">
        <v>202.3</v>
      </c>
      <c r="N10" s="38">
        <v>370</v>
      </c>
      <c r="O10" s="41">
        <v>209.6</v>
      </c>
      <c r="P10" s="38">
        <v>463</v>
      </c>
      <c r="Q10" s="39">
        <v>281.8</v>
      </c>
      <c r="R10" s="49">
        <v>785.1</v>
      </c>
      <c r="S10" s="35">
        <v>226.1</v>
      </c>
      <c r="T10" s="35">
        <v>628</v>
      </c>
      <c r="U10" s="39">
        <v>235.1</v>
      </c>
      <c r="V10" s="48">
        <v>554.29999999999995</v>
      </c>
      <c r="W10" s="35">
        <v>192.4</v>
      </c>
      <c r="X10" s="35">
        <v>239.3</v>
      </c>
      <c r="Y10" s="39">
        <v>201.9</v>
      </c>
      <c r="Z10" s="35">
        <v>251.6</v>
      </c>
      <c r="AA10" s="39">
        <v>268.2</v>
      </c>
      <c r="AB10" s="48">
        <v>883.8</v>
      </c>
      <c r="AC10" s="37">
        <v>245.7</v>
      </c>
      <c r="AD10" s="38">
        <v>592.1</v>
      </c>
      <c r="AE10" s="39">
        <v>221.9</v>
      </c>
      <c r="AF10" s="48">
        <v>729.6</v>
      </c>
      <c r="AG10" s="41">
        <v>182.6</v>
      </c>
      <c r="AH10" s="45">
        <v>199</v>
      </c>
    </row>
    <row r="11" spans="1:34">
      <c r="A11" s="46">
        <v>3</v>
      </c>
      <c r="B11" s="47" t="s">
        <v>29</v>
      </c>
      <c r="C11" s="35">
        <v>237.7</v>
      </c>
      <c r="D11" s="35">
        <v>662.3</v>
      </c>
      <c r="E11" s="37">
        <v>235.3</v>
      </c>
      <c r="F11" s="38">
        <v>593.70000000000005</v>
      </c>
      <c r="G11" s="37">
        <v>201.8</v>
      </c>
      <c r="H11" s="38">
        <v>522.5</v>
      </c>
      <c r="I11" s="35">
        <v>258.89999999999998</v>
      </c>
      <c r="J11" s="35">
        <v>1028.0999999999999</v>
      </c>
      <c r="K11" s="39">
        <v>287.39999999999998</v>
      </c>
      <c r="L11" s="48">
        <v>946.3</v>
      </c>
      <c r="M11" s="37">
        <v>245</v>
      </c>
      <c r="N11" s="38">
        <v>491.6</v>
      </c>
      <c r="O11" s="41">
        <v>190.8</v>
      </c>
      <c r="P11" s="38">
        <v>379.6</v>
      </c>
      <c r="Q11" s="39">
        <v>261</v>
      </c>
      <c r="R11" s="49">
        <v>653.9</v>
      </c>
      <c r="S11" s="35">
        <v>239.5</v>
      </c>
      <c r="T11" s="35">
        <v>540.9</v>
      </c>
      <c r="U11" s="39">
        <v>258.39999999999998</v>
      </c>
      <c r="V11" s="48">
        <v>833.9</v>
      </c>
      <c r="W11" s="35">
        <v>189.2</v>
      </c>
      <c r="X11" s="35">
        <v>180.8</v>
      </c>
      <c r="Y11" s="39">
        <v>194</v>
      </c>
      <c r="Z11" s="35">
        <v>215.4</v>
      </c>
      <c r="AA11" s="39">
        <v>258.3</v>
      </c>
      <c r="AB11" s="48">
        <v>703.9</v>
      </c>
      <c r="AC11" s="37">
        <v>265.5</v>
      </c>
      <c r="AD11" s="38">
        <v>764.5</v>
      </c>
      <c r="AE11" s="39">
        <v>250.4</v>
      </c>
      <c r="AF11" s="48">
        <v>717.8</v>
      </c>
      <c r="AG11" s="41">
        <v>194.8</v>
      </c>
      <c r="AH11" s="45">
        <v>242</v>
      </c>
    </row>
    <row r="12" spans="1:34">
      <c r="A12" s="46">
        <v>4</v>
      </c>
      <c r="B12" s="47" t="s">
        <v>30</v>
      </c>
      <c r="C12" s="35">
        <v>184.5</v>
      </c>
      <c r="D12" s="35">
        <v>772.5</v>
      </c>
      <c r="E12" s="37">
        <v>274.2</v>
      </c>
      <c r="F12" s="38">
        <v>687</v>
      </c>
      <c r="G12" s="37">
        <v>211.9</v>
      </c>
      <c r="H12" s="38">
        <v>468.2</v>
      </c>
      <c r="I12" s="35">
        <v>334.1</v>
      </c>
      <c r="J12" s="35">
        <v>1190.4000000000001</v>
      </c>
      <c r="K12" s="39">
        <v>290.2</v>
      </c>
      <c r="L12" s="48">
        <v>862.3</v>
      </c>
      <c r="M12" s="37">
        <v>226.9</v>
      </c>
      <c r="N12" s="38">
        <v>518.4</v>
      </c>
      <c r="O12" s="41">
        <v>226</v>
      </c>
      <c r="P12" s="38">
        <v>468.6</v>
      </c>
      <c r="Q12" s="35">
        <v>276.3</v>
      </c>
      <c r="R12" s="49">
        <v>787.9</v>
      </c>
      <c r="S12" s="35">
        <v>261.89999999999998</v>
      </c>
      <c r="T12" s="35">
        <v>732.3</v>
      </c>
      <c r="U12" s="39">
        <v>278</v>
      </c>
      <c r="V12" s="48">
        <v>858.6</v>
      </c>
      <c r="W12" s="35">
        <v>211</v>
      </c>
      <c r="X12" s="35">
        <v>231.4</v>
      </c>
      <c r="Y12" s="39">
        <v>222.6</v>
      </c>
      <c r="Z12" s="35">
        <v>230.1</v>
      </c>
      <c r="AA12" s="39">
        <v>298.10000000000002</v>
      </c>
      <c r="AB12" s="48">
        <v>852.8</v>
      </c>
      <c r="AC12" s="37">
        <v>270.39999999999998</v>
      </c>
      <c r="AD12" s="38">
        <v>661.6</v>
      </c>
      <c r="AE12" s="39">
        <v>242.2</v>
      </c>
      <c r="AF12" s="48">
        <v>635</v>
      </c>
      <c r="AG12" s="41">
        <v>228.4</v>
      </c>
      <c r="AH12" s="45">
        <v>391.6</v>
      </c>
    </row>
    <row r="13" spans="1:34">
      <c r="A13" s="51">
        <v>5</v>
      </c>
      <c r="B13" s="52" t="s">
        <v>31</v>
      </c>
      <c r="C13" s="35">
        <v>252.4</v>
      </c>
      <c r="D13" s="35">
        <v>908.9</v>
      </c>
      <c r="E13" s="37">
        <v>232.4</v>
      </c>
      <c r="F13" s="38">
        <v>568.1</v>
      </c>
      <c r="G13" s="37">
        <v>194</v>
      </c>
      <c r="H13" s="38">
        <v>432.9</v>
      </c>
      <c r="I13" s="35">
        <v>355.5</v>
      </c>
      <c r="J13" s="35">
        <v>1387.3</v>
      </c>
      <c r="K13" s="39">
        <v>267.7</v>
      </c>
      <c r="L13" s="48">
        <v>781.7</v>
      </c>
      <c r="M13" s="37">
        <v>230.7</v>
      </c>
      <c r="N13" s="38">
        <v>782.8</v>
      </c>
      <c r="O13" s="41">
        <v>197.4</v>
      </c>
      <c r="P13" s="38">
        <v>362.8</v>
      </c>
      <c r="Q13" s="35">
        <v>266.2</v>
      </c>
      <c r="R13" s="49">
        <v>760.6</v>
      </c>
      <c r="S13" s="35">
        <v>218.9</v>
      </c>
      <c r="T13" s="35">
        <v>402</v>
      </c>
      <c r="U13" s="39">
        <v>239</v>
      </c>
      <c r="V13" s="48">
        <v>766.2</v>
      </c>
      <c r="W13" s="35">
        <v>192.6</v>
      </c>
      <c r="X13" s="35">
        <v>208.4</v>
      </c>
      <c r="Y13" s="39">
        <v>211.5</v>
      </c>
      <c r="Z13" s="35">
        <v>285.7</v>
      </c>
      <c r="AA13" s="39">
        <v>260.7</v>
      </c>
      <c r="AB13" s="48">
        <v>723.2</v>
      </c>
      <c r="AC13" s="37">
        <v>264</v>
      </c>
      <c r="AD13" s="38">
        <v>650</v>
      </c>
      <c r="AE13" s="39">
        <v>243.8</v>
      </c>
      <c r="AF13" s="48">
        <v>528.29999999999995</v>
      </c>
      <c r="AG13" s="41">
        <v>186.1</v>
      </c>
      <c r="AH13" s="45">
        <v>309.89999999999998</v>
      </c>
    </row>
    <row r="14" spans="1:34" ht="21" customHeight="1">
      <c r="A14" s="46">
        <v>6</v>
      </c>
      <c r="B14" s="47" t="s">
        <v>32</v>
      </c>
      <c r="C14" s="35">
        <v>213.5</v>
      </c>
      <c r="D14" s="35">
        <v>379</v>
      </c>
      <c r="E14" s="37">
        <v>229.2</v>
      </c>
      <c r="F14" s="38">
        <v>605.5</v>
      </c>
      <c r="G14" s="37">
        <v>213.6</v>
      </c>
      <c r="H14" s="38">
        <v>524.20000000000005</v>
      </c>
      <c r="I14" s="35">
        <v>237.8</v>
      </c>
      <c r="J14" s="35">
        <v>738.1</v>
      </c>
      <c r="K14" s="39">
        <v>274.10000000000002</v>
      </c>
      <c r="L14" s="48">
        <v>937.1</v>
      </c>
      <c r="M14" s="37">
        <v>207.5</v>
      </c>
      <c r="N14" s="38">
        <v>380.6</v>
      </c>
      <c r="O14" s="41">
        <v>207.7</v>
      </c>
      <c r="P14" s="38">
        <v>363</v>
      </c>
      <c r="Q14" s="35">
        <v>282.8</v>
      </c>
      <c r="R14" s="49">
        <v>698.4</v>
      </c>
      <c r="S14" s="35">
        <v>243</v>
      </c>
      <c r="T14" s="35">
        <v>577.1</v>
      </c>
      <c r="U14" s="39">
        <v>251.9</v>
      </c>
      <c r="V14" s="48">
        <v>673</v>
      </c>
      <c r="W14" s="35">
        <v>208.7</v>
      </c>
      <c r="X14" s="35">
        <v>226.9</v>
      </c>
      <c r="Y14" s="39">
        <v>213.9</v>
      </c>
      <c r="Z14" s="35">
        <v>263</v>
      </c>
      <c r="AA14" s="39">
        <v>261.39999999999998</v>
      </c>
      <c r="AB14" s="48">
        <v>802</v>
      </c>
      <c r="AC14" s="37">
        <v>247.9</v>
      </c>
      <c r="AD14" s="38">
        <v>622.6</v>
      </c>
      <c r="AE14" s="39">
        <v>229.8</v>
      </c>
      <c r="AF14" s="48">
        <v>640.29999999999995</v>
      </c>
      <c r="AG14" s="41">
        <v>211</v>
      </c>
      <c r="AH14" s="45">
        <v>295.5</v>
      </c>
    </row>
    <row r="15" spans="1:34">
      <c r="A15" s="46">
        <v>7</v>
      </c>
      <c r="B15" s="47" t="s">
        <v>33</v>
      </c>
      <c r="C15" s="35">
        <v>245</v>
      </c>
      <c r="D15" s="35">
        <v>510.1</v>
      </c>
      <c r="E15" s="37">
        <v>237.4</v>
      </c>
      <c r="F15" s="38">
        <v>683.2</v>
      </c>
      <c r="G15" s="37">
        <v>218.8</v>
      </c>
      <c r="H15" s="38">
        <v>609.1</v>
      </c>
      <c r="I15" s="35">
        <v>269.2</v>
      </c>
      <c r="J15" s="35">
        <v>649.5</v>
      </c>
      <c r="K15" s="39">
        <v>244.9</v>
      </c>
      <c r="L15" s="48">
        <v>670.7</v>
      </c>
      <c r="M15" s="37">
        <v>201.6</v>
      </c>
      <c r="N15" s="38">
        <v>276.39999999999998</v>
      </c>
      <c r="O15" s="41">
        <v>211.2</v>
      </c>
      <c r="P15" s="38">
        <v>325.7</v>
      </c>
      <c r="Q15" s="35">
        <v>276.3</v>
      </c>
      <c r="R15" s="49">
        <v>666.9</v>
      </c>
      <c r="S15" s="35">
        <v>242.4</v>
      </c>
      <c r="T15" s="35">
        <v>580.6</v>
      </c>
      <c r="U15" s="39">
        <v>241.7</v>
      </c>
      <c r="V15" s="48">
        <v>671.5</v>
      </c>
      <c r="W15" s="35">
        <v>194.6</v>
      </c>
      <c r="X15" s="35">
        <v>168.3</v>
      </c>
      <c r="Y15" s="39">
        <v>210.5</v>
      </c>
      <c r="Z15" s="35">
        <v>259.2</v>
      </c>
      <c r="AA15" s="39">
        <v>272.10000000000002</v>
      </c>
      <c r="AB15" s="48">
        <v>714.9</v>
      </c>
      <c r="AC15" s="37">
        <v>256.10000000000002</v>
      </c>
      <c r="AD15" s="38">
        <v>647.29999999999995</v>
      </c>
      <c r="AE15" s="39">
        <v>242.2</v>
      </c>
      <c r="AF15" s="48">
        <v>702.8</v>
      </c>
      <c r="AG15" s="41">
        <v>203.2</v>
      </c>
      <c r="AH15" s="45">
        <v>264.60000000000002</v>
      </c>
    </row>
    <row r="16" spans="1:34">
      <c r="A16" s="46">
        <v>8</v>
      </c>
      <c r="B16" s="47" t="s">
        <v>34</v>
      </c>
      <c r="C16" s="41">
        <v>280.3</v>
      </c>
      <c r="D16" s="41">
        <v>716.7</v>
      </c>
      <c r="E16" s="37">
        <v>276.89999999999998</v>
      </c>
      <c r="F16" s="38">
        <v>401.7</v>
      </c>
      <c r="G16" s="37">
        <v>235.4</v>
      </c>
      <c r="H16" s="38">
        <v>626</v>
      </c>
      <c r="I16" s="41">
        <v>425.6</v>
      </c>
      <c r="J16" s="41">
        <v>577.20000000000005</v>
      </c>
      <c r="K16" s="37">
        <v>277.2</v>
      </c>
      <c r="L16" s="38">
        <v>676.7</v>
      </c>
      <c r="M16" s="37">
        <v>241.6</v>
      </c>
      <c r="N16" s="38">
        <v>463.9</v>
      </c>
      <c r="O16" s="41">
        <v>243</v>
      </c>
      <c r="P16" s="38">
        <v>510.6</v>
      </c>
      <c r="Q16" s="41">
        <v>283.89999999999998</v>
      </c>
      <c r="R16" s="45">
        <v>751.3</v>
      </c>
      <c r="S16" s="41">
        <v>256.7</v>
      </c>
      <c r="T16" s="41">
        <v>724.3</v>
      </c>
      <c r="U16" s="37">
        <v>330.9</v>
      </c>
      <c r="V16" s="38">
        <v>1272</v>
      </c>
      <c r="W16" s="41">
        <v>206.2</v>
      </c>
      <c r="X16" s="41">
        <v>163.69999999999999</v>
      </c>
      <c r="Y16" s="37">
        <v>222.8</v>
      </c>
      <c r="Z16" s="41">
        <v>209.6</v>
      </c>
      <c r="AA16" s="37">
        <v>327.7</v>
      </c>
      <c r="AB16" s="38">
        <v>1045.9000000000001</v>
      </c>
      <c r="AC16" s="37">
        <v>274.39999999999998</v>
      </c>
      <c r="AD16" s="38">
        <v>633.9</v>
      </c>
      <c r="AE16" s="37">
        <v>221.7</v>
      </c>
      <c r="AF16" s="38">
        <v>421.9</v>
      </c>
      <c r="AG16" s="41">
        <v>215.5</v>
      </c>
      <c r="AH16" s="45">
        <v>264.60000000000002</v>
      </c>
    </row>
    <row r="17" spans="1:34">
      <c r="A17" s="46">
        <v>9</v>
      </c>
      <c r="B17" s="47" t="s">
        <v>35</v>
      </c>
      <c r="C17" s="41">
        <v>246.8</v>
      </c>
      <c r="D17" s="41">
        <v>946.7</v>
      </c>
      <c r="E17" s="37">
        <v>268</v>
      </c>
      <c r="F17" s="38">
        <v>635</v>
      </c>
      <c r="G17" s="37">
        <v>241.7</v>
      </c>
      <c r="H17" s="38">
        <v>649.9</v>
      </c>
      <c r="I17" s="41">
        <v>372.9</v>
      </c>
      <c r="J17" s="41">
        <v>494.6</v>
      </c>
      <c r="K17" s="37">
        <v>266</v>
      </c>
      <c r="L17" s="38">
        <v>706.4</v>
      </c>
      <c r="M17" s="37">
        <v>289.2</v>
      </c>
      <c r="N17" s="38">
        <v>913.1</v>
      </c>
      <c r="O17" s="41">
        <v>233.1</v>
      </c>
      <c r="P17" s="38">
        <v>397.2</v>
      </c>
      <c r="Q17" s="41">
        <v>294.60000000000002</v>
      </c>
      <c r="R17" s="45">
        <v>764.9</v>
      </c>
      <c r="S17" s="41">
        <v>226.2</v>
      </c>
      <c r="T17" s="41">
        <v>481.5</v>
      </c>
      <c r="U17" s="37">
        <v>312.89999999999998</v>
      </c>
      <c r="V17" s="38">
        <v>309.60000000000002</v>
      </c>
      <c r="W17" s="41">
        <v>231.6</v>
      </c>
      <c r="X17" s="41">
        <v>241.4</v>
      </c>
      <c r="Y17" s="37">
        <v>211.6</v>
      </c>
      <c r="Z17" s="41">
        <v>211.3</v>
      </c>
      <c r="AA17" s="37">
        <v>289</v>
      </c>
      <c r="AB17" s="38">
        <v>727.2</v>
      </c>
      <c r="AC17" s="37">
        <v>272.60000000000002</v>
      </c>
      <c r="AD17" s="38">
        <v>650.20000000000005</v>
      </c>
      <c r="AE17" s="37">
        <v>246.7</v>
      </c>
      <c r="AF17" s="38">
        <v>787.9</v>
      </c>
      <c r="AG17" s="41">
        <v>215.2</v>
      </c>
      <c r="AH17" s="45">
        <v>251.4</v>
      </c>
    </row>
    <row r="18" spans="1:34">
      <c r="A18" s="51">
        <v>10</v>
      </c>
      <c r="B18" s="52" t="s">
        <v>36</v>
      </c>
      <c r="C18" s="41">
        <v>195.9</v>
      </c>
      <c r="D18" s="41">
        <v>0</v>
      </c>
      <c r="E18" s="37">
        <v>283.5</v>
      </c>
      <c r="F18" s="38">
        <v>658.4</v>
      </c>
      <c r="G18" s="37">
        <v>226.2</v>
      </c>
      <c r="H18" s="38">
        <v>536.9</v>
      </c>
      <c r="I18" s="41">
        <v>372.2</v>
      </c>
      <c r="J18" s="41">
        <v>394.8</v>
      </c>
      <c r="K18" s="37">
        <v>270.39999999999998</v>
      </c>
      <c r="L18" s="38">
        <v>949.9</v>
      </c>
      <c r="M18" s="37">
        <v>236.3</v>
      </c>
      <c r="N18" s="38">
        <v>466.7</v>
      </c>
      <c r="O18" s="41">
        <v>243.7</v>
      </c>
      <c r="P18" s="38">
        <v>568.70000000000005</v>
      </c>
      <c r="Q18" s="41">
        <v>289.60000000000002</v>
      </c>
      <c r="R18" s="45">
        <v>842.8</v>
      </c>
      <c r="S18" s="41">
        <v>259</v>
      </c>
      <c r="T18" s="41">
        <v>594.20000000000005</v>
      </c>
      <c r="U18" s="37">
        <v>269.60000000000002</v>
      </c>
      <c r="V18" s="38">
        <v>881</v>
      </c>
      <c r="W18" s="41">
        <v>228.5</v>
      </c>
      <c r="X18" s="41">
        <v>226.4</v>
      </c>
      <c r="Y18" s="37">
        <v>215.1</v>
      </c>
      <c r="Z18" s="41">
        <v>279.5</v>
      </c>
      <c r="AA18" s="37">
        <v>277.8</v>
      </c>
      <c r="AB18" s="38">
        <v>958.5</v>
      </c>
      <c r="AC18" s="37">
        <v>274.3</v>
      </c>
      <c r="AD18" s="38">
        <v>726.5</v>
      </c>
      <c r="AE18" s="37">
        <v>250.9</v>
      </c>
      <c r="AF18" s="38">
        <v>773.8</v>
      </c>
      <c r="AG18" s="41">
        <v>208.1</v>
      </c>
      <c r="AH18" s="45">
        <v>233.2</v>
      </c>
    </row>
    <row r="19" spans="1:34" ht="21" customHeight="1">
      <c r="A19" s="46">
        <v>11</v>
      </c>
      <c r="B19" s="47" t="s">
        <v>37</v>
      </c>
      <c r="C19" s="41">
        <v>309.3</v>
      </c>
      <c r="D19" s="41">
        <v>1141.9000000000001</v>
      </c>
      <c r="E19" s="37">
        <v>281</v>
      </c>
      <c r="F19" s="38">
        <v>704</v>
      </c>
      <c r="G19" s="37">
        <v>261.89999999999998</v>
      </c>
      <c r="H19" s="38">
        <v>655.8</v>
      </c>
      <c r="I19" s="41">
        <v>343.9</v>
      </c>
      <c r="J19" s="41">
        <v>900.2</v>
      </c>
      <c r="K19" s="37">
        <v>283.2</v>
      </c>
      <c r="L19" s="38">
        <v>741.2</v>
      </c>
      <c r="M19" s="37">
        <v>237.6</v>
      </c>
      <c r="N19" s="38">
        <v>337.9</v>
      </c>
      <c r="O19" s="41">
        <v>254.5</v>
      </c>
      <c r="P19" s="38">
        <v>600.5</v>
      </c>
      <c r="Q19" s="41">
        <v>300</v>
      </c>
      <c r="R19" s="45">
        <v>850.9</v>
      </c>
      <c r="S19" s="41">
        <v>276.10000000000002</v>
      </c>
      <c r="T19" s="41">
        <v>569.79999999999995</v>
      </c>
      <c r="U19" s="37">
        <v>317.10000000000002</v>
      </c>
      <c r="V19" s="38">
        <v>1265.2</v>
      </c>
      <c r="W19" s="41">
        <v>226.8</v>
      </c>
      <c r="X19" s="38">
        <v>199.7</v>
      </c>
      <c r="Y19" s="41">
        <v>248.7</v>
      </c>
      <c r="Z19" s="41">
        <v>261.2</v>
      </c>
      <c r="AA19" s="37">
        <v>308.89999999999998</v>
      </c>
      <c r="AB19" s="38">
        <v>878.2</v>
      </c>
      <c r="AC19" s="37">
        <v>286.10000000000002</v>
      </c>
      <c r="AD19" s="38">
        <v>574.1</v>
      </c>
      <c r="AE19" s="37">
        <v>266.89999999999998</v>
      </c>
      <c r="AF19" s="38">
        <v>906.4</v>
      </c>
      <c r="AG19" s="41">
        <v>230.8</v>
      </c>
      <c r="AH19" s="45">
        <v>271.3</v>
      </c>
    </row>
    <row r="20" spans="1:34">
      <c r="A20" s="46">
        <v>12</v>
      </c>
      <c r="B20" s="47" t="s">
        <v>38</v>
      </c>
      <c r="C20" s="41">
        <v>291.5</v>
      </c>
      <c r="D20" s="41">
        <v>912.1</v>
      </c>
      <c r="E20" s="37">
        <v>264</v>
      </c>
      <c r="F20" s="38">
        <v>607.6</v>
      </c>
      <c r="G20" s="37">
        <v>247.2</v>
      </c>
      <c r="H20" s="38">
        <v>554.79999999999995</v>
      </c>
      <c r="I20" s="41">
        <v>350.4</v>
      </c>
      <c r="J20" s="41">
        <v>830.5</v>
      </c>
      <c r="K20" s="37">
        <v>308.39999999999998</v>
      </c>
      <c r="L20" s="38">
        <v>1008.9</v>
      </c>
      <c r="M20" s="37">
        <v>269.3</v>
      </c>
      <c r="N20" s="38">
        <v>552.29999999999995</v>
      </c>
      <c r="O20" s="41">
        <v>247.8</v>
      </c>
      <c r="P20" s="38">
        <v>414.4</v>
      </c>
      <c r="Q20" s="41">
        <v>299</v>
      </c>
      <c r="R20" s="45">
        <v>888.7</v>
      </c>
      <c r="S20" s="41">
        <v>276.2</v>
      </c>
      <c r="T20" s="41">
        <v>675.4</v>
      </c>
      <c r="U20" s="37">
        <v>300.3</v>
      </c>
      <c r="V20" s="38">
        <v>892.6</v>
      </c>
      <c r="W20" s="41">
        <v>231.3</v>
      </c>
      <c r="X20" s="38">
        <v>194.8</v>
      </c>
      <c r="Y20" s="41">
        <v>245.5</v>
      </c>
      <c r="Z20" s="41">
        <v>316.3</v>
      </c>
      <c r="AA20" s="37">
        <v>327.2</v>
      </c>
      <c r="AB20" s="38">
        <v>988.6</v>
      </c>
      <c r="AC20" s="37">
        <v>282.5</v>
      </c>
      <c r="AD20" s="38">
        <v>639.20000000000005</v>
      </c>
      <c r="AE20" s="37">
        <v>255.8</v>
      </c>
      <c r="AF20" s="38">
        <v>654.4</v>
      </c>
      <c r="AG20" s="41">
        <v>241.3</v>
      </c>
      <c r="AH20" s="45">
        <v>370</v>
      </c>
    </row>
    <row r="21" spans="1:34">
      <c r="A21" s="46">
        <v>13</v>
      </c>
      <c r="B21" s="47" t="s">
        <v>39</v>
      </c>
      <c r="C21" s="41">
        <v>470</v>
      </c>
      <c r="D21" s="41">
        <v>2200.1</v>
      </c>
      <c r="E21" s="37">
        <v>316</v>
      </c>
      <c r="F21" s="38">
        <v>1003.4</v>
      </c>
      <c r="G21" s="37">
        <v>325.3</v>
      </c>
      <c r="H21" s="38">
        <v>1004.4</v>
      </c>
      <c r="I21" s="41">
        <v>429.4</v>
      </c>
      <c r="J21" s="41">
        <v>1407.8</v>
      </c>
      <c r="K21" s="37">
        <v>353.4</v>
      </c>
      <c r="L21" s="38">
        <v>982.1</v>
      </c>
      <c r="M21" s="37">
        <v>326.10000000000002</v>
      </c>
      <c r="N21" s="38">
        <v>1011.2</v>
      </c>
      <c r="O21" s="41">
        <v>336.3</v>
      </c>
      <c r="P21" s="38">
        <v>978.1</v>
      </c>
      <c r="Q21" s="41">
        <v>393.1</v>
      </c>
      <c r="R21" s="45">
        <v>1282.4000000000001</v>
      </c>
      <c r="S21" s="41">
        <v>338.2</v>
      </c>
      <c r="T21" s="41">
        <v>1017.4</v>
      </c>
      <c r="U21" s="37">
        <v>352</v>
      </c>
      <c r="V21" s="38">
        <v>972</v>
      </c>
      <c r="W21" s="41">
        <v>273.8</v>
      </c>
      <c r="X21" s="38">
        <v>410.7</v>
      </c>
      <c r="Y21" s="41">
        <v>295.3</v>
      </c>
      <c r="Z21" s="41">
        <v>499.9</v>
      </c>
      <c r="AA21" s="37">
        <v>370.6</v>
      </c>
      <c r="AB21" s="38">
        <v>1204.5999999999999</v>
      </c>
      <c r="AC21" s="37">
        <v>339.9</v>
      </c>
      <c r="AD21" s="38">
        <v>720.4</v>
      </c>
      <c r="AE21" s="37">
        <v>307.7</v>
      </c>
      <c r="AF21" s="38">
        <v>1199.4000000000001</v>
      </c>
      <c r="AG21" s="41">
        <v>305.10000000000002</v>
      </c>
      <c r="AH21" s="45">
        <v>454.7</v>
      </c>
    </row>
    <row r="22" spans="1:34">
      <c r="A22" s="46">
        <v>14</v>
      </c>
      <c r="B22" s="47" t="s">
        <v>40</v>
      </c>
      <c r="C22" s="41">
        <v>329.9</v>
      </c>
      <c r="D22" s="41">
        <v>1462.2</v>
      </c>
      <c r="E22" s="37">
        <v>302.39999999999998</v>
      </c>
      <c r="F22" s="38">
        <v>755.1</v>
      </c>
      <c r="G22" s="37">
        <v>282.60000000000002</v>
      </c>
      <c r="H22" s="38">
        <v>807.7</v>
      </c>
      <c r="I22" s="41">
        <v>376.7</v>
      </c>
      <c r="J22" s="41">
        <v>950.6</v>
      </c>
      <c r="K22" s="37">
        <v>364.2</v>
      </c>
      <c r="L22" s="38">
        <v>1477</v>
      </c>
      <c r="M22" s="37">
        <v>314.39999999999998</v>
      </c>
      <c r="N22" s="38">
        <v>1124.0999999999999</v>
      </c>
      <c r="O22" s="41">
        <v>273.60000000000002</v>
      </c>
      <c r="P22" s="38">
        <v>672.3</v>
      </c>
      <c r="Q22" s="41">
        <v>317.3</v>
      </c>
      <c r="R22" s="45">
        <v>886.5</v>
      </c>
      <c r="S22" s="41">
        <v>288.5</v>
      </c>
      <c r="T22" s="41">
        <v>815.2</v>
      </c>
      <c r="U22" s="37">
        <v>379.2</v>
      </c>
      <c r="V22" s="38">
        <v>1350.3</v>
      </c>
      <c r="W22" s="41">
        <v>242.3</v>
      </c>
      <c r="X22" s="38">
        <v>243.6</v>
      </c>
      <c r="Y22" s="41">
        <v>258.7</v>
      </c>
      <c r="Z22" s="41">
        <v>226.8</v>
      </c>
      <c r="AA22" s="37">
        <v>347.1</v>
      </c>
      <c r="AB22" s="38">
        <v>1055.3</v>
      </c>
      <c r="AC22" s="37">
        <v>316.3</v>
      </c>
      <c r="AD22" s="38">
        <v>708.3</v>
      </c>
      <c r="AE22" s="37">
        <v>299.60000000000002</v>
      </c>
      <c r="AF22" s="38">
        <v>1301.5</v>
      </c>
      <c r="AG22" s="41">
        <v>247</v>
      </c>
      <c r="AH22" s="45">
        <v>291</v>
      </c>
    </row>
    <row r="23" spans="1:34">
      <c r="A23" s="51">
        <v>15</v>
      </c>
      <c r="B23" s="52" t="s">
        <v>41</v>
      </c>
      <c r="C23" s="41">
        <v>289.60000000000002</v>
      </c>
      <c r="D23" s="38">
        <v>1323.8</v>
      </c>
      <c r="E23" s="41">
        <v>233.1</v>
      </c>
      <c r="F23" s="38">
        <v>584.9</v>
      </c>
      <c r="G23" s="37">
        <v>218.6</v>
      </c>
      <c r="H23" s="38">
        <v>529.5</v>
      </c>
      <c r="I23" s="41">
        <v>360.3</v>
      </c>
      <c r="J23" s="41">
        <v>915.3</v>
      </c>
      <c r="K23" s="37">
        <v>274.60000000000002</v>
      </c>
      <c r="L23" s="38">
        <v>807.9</v>
      </c>
      <c r="M23" s="37">
        <v>250.7</v>
      </c>
      <c r="N23" s="38">
        <v>606.6</v>
      </c>
      <c r="O23" s="41">
        <v>216</v>
      </c>
      <c r="P23" s="38">
        <v>379.6</v>
      </c>
      <c r="Q23" s="41">
        <v>289.7</v>
      </c>
      <c r="R23" s="45">
        <v>946.5</v>
      </c>
      <c r="S23" s="41">
        <v>238.3</v>
      </c>
      <c r="T23" s="41">
        <v>593.29999999999995</v>
      </c>
      <c r="U23" s="37">
        <v>266.7</v>
      </c>
      <c r="V23" s="38">
        <v>766.3</v>
      </c>
      <c r="W23" s="41">
        <v>193.5</v>
      </c>
      <c r="X23" s="38">
        <v>231.5</v>
      </c>
      <c r="Y23" s="35">
        <v>209</v>
      </c>
      <c r="Z23" s="72">
        <v>319.5</v>
      </c>
      <c r="AA23" s="37">
        <v>284.89999999999998</v>
      </c>
      <c r="AB23" s="38">
        <v>862.9</v>
      </c>
      <c r="AC23" s="37">
        <v>277.10000000000002</v>
      </c>
      <c r="AD23" s="38">
        <v>615.1</v>
      </c>
      <c r="AE23" s="37">
        <v>254.5</v>
      </c>
      <c r="AF23" s="38">
        <v>681.3</v>
      </c>
      <c r="AG23" s="41">
        <v>232.5</v>
      </c>
      <c r="AH23" s="45">
        <v>369.3</v>
      </c>
    </row>
    <row r="24" spans="1:34" ht="21" customHeight="1">
      <c r="A24" s="46">
        <v>16</v>
      </c>
      <c r="B24" s="47" t="s">
        <v>42</v>
      </c>
      <c r="C24" s="41">
        <v>258.10000000000002</v>
      </c>
      <c r="D24" s="38">
        <v>568.1</v>
      </c>
      <c r="E24" s="35">
        <v>247.7</v>
      </c>
      <c r="F24" s="72">
        <v>718.9</v>
      </c>
      <c r="G24" s="37">
        <v>229.1</v>
      </c>
      <c r="H24" s="38">
        <v>582.5</v>
      </c>
      <c r="I24" s="41">
        <v>310.7</v>
      </c>
      <c r="J24" s="41">
        <v>858.8</v>
      </c>
      <c r="K24" s="37">
        <v>288.7</v>
      </c>
      <c r="L24" s="38">
        <v>1086</v>
      </c>
      <c r="M24" s="37">
        <v>232.7</v>
      </c>
      <c r="N24" s="38">
        <v>487</v>
      </c>
      <c r="O24" s="41">
        <v>242.7</v>
      </c>
      <c r="P24" s="38">
        <v>492.4</v>
      </c>
      <c r="Q24" s="41">
        <v>288.2</v>
      </c>
      <c r="R24" s="45">
        <v>660.7</v>
      </c>
      <c r="S24" s="41">
        <v>236.2</v>
      </c>
      <c r="T24" s="41">
        <v>443.3</v>
      </c>
      <c r="U24" s="37">
        <v>264.8</v>
      </c>
      <c r="V24" s="38">
        <v>686.6</v>
      </c>
      <c r="W24" s="41">
        <v>216.2</v>
      </c>
      <c r="X24" s="38">
        <v>257.5</v>
      </c>
      <c r="Y24" s="41">
        <v>226.5</v>
      </c>
      <c r="Z24" s="41">
        <v>335.9</v>
      </c>
      <c r="AA24" s="37">
        <v>288.60000000000002</v>
      </c>
      <c r="AB24" s="38">
        <v>803.8</v>
      </c>
      <c r="AC24" s="37">
        <v>272.39999999999998</v>
      </c>
      <c r="AD24" s="38">
        <v>678.9</v>
      </c>
      <c r="AE24" s="37">
        <v>275</v>
      </c>
      <c r="AF24" s="38">
        <v>930.7</v>
      </c>
      <c r="AG24" s="41">
        <v>229</v>
      </c>
      <c r="AH24" s="45">
        <v>547.6</v>
      </c>
    </row>
    <row r="25" spans="1:34">
      <c r="A25" s="46">
        <v>17</v>
      </c>
      <c r="B25" s="47" t="s">
        <v>43</v>
      </c>
      <c r="C25" s="41">
        <v>293.89999999999998</v>
      </c>
      <c r="D25" s="41">
        <v>934.1</v>
      </c>
      <c r="E25" s="37">
        <v>272.5</v>
      </c>
      <c r="F25" s="38">
        <v>1035.4000000000001</v>
      </c>
      <c r="G25" s="37">
        <v>230.8</v>
      </c>
      <c r="H25" s="38">
        <v>660.6</v>
      </c>
      <c r="I25" s="41">
        <v>284.60000000000002</v>
      </c>
      <c r="J25" s="41">
        <v>648.4</v>
      </c>
      <c r="K25" s="37">
        <v>367.8</v>
      </c>
      <c r="L25" s="38">
        <v>906.7</v>
      </c>
      <c r="M25" s="37">
        <v>226.2</v>
      </c>
      <c r="N25" s="38">
        <v>517.5</v>
      </c>
      <c r="O25" s="41">
        <v>239</v>
      </c>
      <c r="P25" s="38">
        <v>552.29999999999995</v>
      </c>
      <c r="Q25" s="41">
        <v>301.39999999999998</v>
      </c>
      <c r="R25" s="45">
        <v>832</v>
      </c>
      <c r="S25" s="41">
        <v>262.8</v>
      </c>
      <c r="T25" s="41">
        <v>762.3</v>
      </c>
      <c r="U25" s="37">
        <v>256.39999999999998</v>
      </c>
      <c r="V25" s="38">
        <v>806.3</v>
      </c>
      <c r="W25" s="41">
        <v>214.5</v>
      </c>
      <c r="X25" s="41">
        <v>219.3</v>
      </c>
      <c r="Y25" s="37">
        <v>235.5</v>
      </c>
      <c r="Z25" s="41">
        <v>553.20000000000005</v>
      </c>
      <c r="AA25" s="37">
        <v>285.8</v>
      </c>
      <c r="AB25" s="38">
        <v>973.7</v>
      </c>
      <c r="AC25" s="37">
        <v>269.3</v>
      </c>
      <c r="AD25" s="38">
        <v>678.3</v>
      </c>
      <c r="AE25" s="37">
        <v>263.60000000000002</v>
      </c>
      <c r="AF25" s="38">
        <v>910.6</v>
      </c>
      <c r="AG25" s="41">
        <v>218.2</v>
      </c>
      <c r="AH25" s="45">
        <v>294</v>
      </c>
    </row>
    <row r="26" spans="1:34">
      <c r="A26" s="46">
        <v>18</v>
      </c>
      <c r="B26" s="47" t="s">
        <v>44</v>
      </c>
      <c r="C26" s="41">
        <v>364.3</v>
      </c>
      <c r="D26" s="41">
        <v>820</v>
      </c>
      <c r="E26" s="37">
        <v>238.2</v>
      </c>
      <c r="F26" s="38">
        <v>542.79999999999995</v>
      </c>
      <c r="G26" s="37">
        <v>228.6</v>
      </c>
      <c r="H26" s="38">
        <v>649.1</v>
      </c>
      <c r="I26" s="41">
        <v>296.8</v>
      </c>
      <c r="J26" s="41">
        <v>914.8</v>
      </c>
      <c r="K26" s="37">
        <v>289.5</v>
      </c>
      <c r="L26" s="38">
        <v>744.2</v>
      </c>
      <c r="M26" s="37">
        <v>230.2</v>
      </c>
      <c r="N26" s="38">
        <v>389.5</v>
      </c>
      <c r="O26" s="41">
        <v>222.3</v>
      </c>
      <c r="P26" s="38">
        <v>491.7</v>
      </c>
      <c r="Q26" s="41">
        <v>299.89999999999998</v>
      </c>
      <c r="R26" s="45">
        <v>817</v>
      </c>
      <c r="S26" s="41">
        <v>240.7</v>
      </c>
      <c r="T26" s="41">
        <v>494.2</v>
      </c>
      <c r="U26" s="37">
        <v>276.8</v>
      </c>
      <c r="V26" s="38">
        <v>938.8</v>
      </c>
      <c r="W26" s="41">
        <v>220.5</v>
      </c>
      <c r="X26" s="41">
        <v>343</v>
      </c>
      <c r="Y26" s="37">
        <v>230</v>
      </c>
      <c r="Z26" s="41">
        <v>234.6</v>
      </c>
      <c r="AA26" s="37">
        <v>298.10000000000002</v>
      </c>
      <c r="AB26" s="38">
        <v>1102.3</v>
      </c>
      <c r="AC26" s="37">
        <v>267.39999999999998</v>
      </c>
      <c r="AD26" s="38">
        <v>729.7</v>
      </c>
      <c r="AE26" s="37">
        <v>278.89999999999998</v>
      </c>
      <c r="AF26" s="38">
        <v>845.3</v>
      </c>
      <c r="AG26" s="41">
        <v>219.8</v>
      </c>
      <c r="AH26" s="45">
        <v>464.4</v>
      </c>
    </row>
    <row r="27" spans="1:34">
      <c r="A27" s="46">
        <v>19</v>
      </c>
      <c r="B27" s="47" t="s">
        <v>45</v>
      </c>
      <c r="C27" s="41">
        <v>224.8</v>
      </c>
      <c r="D27" s="41">
        <v>398.7</v>
      </c>
      <c r="E27" s="37">
        <v>272.7</v>
      </c>
      <c r="F27" s="38">
        <v>724.6</v>
      </c>
      <c r="G27" s="37">
        <v>230</v>
      </c>
      <c r="H27" s="38">
        <v>592.20000000000005</v>
      </c>
      <c r="I27" s="41">
        <v>349.6</v>
      </c>
      <c r="J27" s="41">
        <v>551.20000000000005</v>
      </c>
      <c r="K27" s="37">
        <v>291.5</v>
      </c>
      <c r="L27" s="38">
        <v>1173</v>
      </c>
      <c r="M27" s="37">
        <v>258.2</v>
      </c>
      <c r="N27" s="38">
        <v>335.4</v>
      </c>
      <c r="O27" s="41">
        <v>273.3</v>
      </c>
      <c r="P27" s="38">
        <v>271.2</v>
      </c>
      <c r="Q27" s="41">
        <v>320</v>
      </c>
      <c r="R27" s="45">
        <v>715.2</v>
      </c>
      <c r="S27" s="41">
        <v>244.3</v>
      </c>
      <c r="T27" s="41">
        <v>664.9</v>
      </c>
      <c r="U27" s="37">
        <v>249.8</v>
      </c>
      <c r="V27" s="38">
        <v>767.5</v>
      </c>
      <c r="W27" s="41">
        <v>211.2</v>
      </c>
      <c r="X27" s="41">
        <v>220.9</v>
      </c>
      <c r="Y27" s="37">
        <v>226.9</v>
      </c>
      <c r="Z27" s="41">
        <v>314.7</v>
      </c>
      <c r="AA27" s="37">
        <v>298.7</v>
      </c>
      <c r="AB27" s="38">
        <v>890.5</v>
      </c>
      <c r="AC27" s="37">
        <v>261.8</v>
      </c>
      <c r="AD27" s="38">
        <v>604.70000000000005</v>
      </c>
      <c r="AE27" s="37">
        <v>258.5</v>
      </c>
      <c r="AF27" s="38">
        <v>646</v>
      </c>
      <c r="AG27" s="41">
        <v>212.4</v>
      </c>
      <c r="AH27" s="45">
        <v>195.3</v>
      </c>
    </row>
    <row r="28" spans="1:34">
      <c r="A28" s="51">
        <v>20</v>
      </c>
      <c r="B28" s="52" t="s">
        <v>46</v>
      </c>
      <c r="C28" s="41">
        <v>257.3</v>
      </c>
      <c r="D28" s="41">
        <v>645</v>
      </c>
      <c r="E28" s="37">
        <v>270.10000000000002</v>
      </c>
      <c r="F28" s="38">
        <v>522.6</v>
      </c>
      <c r="G28" s="37">
        <v>226.9</v>
      </c>
      <c r="H28" s="38">
        <v>633.5</v>
      </c>
      <c r="I28" s="41">
        <v>302.7</v>
      </c>
      <c r="J28" s="41">
        <v>1064.7</v>
      </c>
      <c r="K28" s="37">
        <v>290</v>
      </c>
      <c r="L28" s="38">
        <v>1004.4</v>
      </c>
      <c r="M28" s="37">
        <v>247.6</v>
      </c>
      <c r="N28" s="38">
        <v>568.5</v>
      </c>
      <c r="O28" s="41">
        <v>228.2</v>
      </c>
      <c r="P28" s="38">
        <v>444.4</v>
      </c>
      <c r="Q28" s="41">
        <v>289</v>
      </c>
      <c r="R28" s="45">
        <v>842.6</v>
      </c>
      <c r="S28" s="41">
        <v>243.7</v>
      </c>
      <c r="T28" s="41">
        <v>494.6</v>
      </c>
      <c r="U28" s="37">
        <v>267.5</v>
      </c>
      <c r="V28" s="38">
        <v>881.9</v>
      </c>
      <c r="W28" s="41">
        <v>221.6</v>
      </c>
      <c r="X28" s="41">
        <v>298.89999999999998</v>
      </c>
      <c r="Y28" s="37">
        <v>229.9</v>
      </c>
      <c r="Z28" s="41">
        <v>288.7</v>
      </c>
      <c r="AA28" s="37">
        <v>287.89999999999998</v>
      </c>
      <c r="AB28" s="38">
        <v>669.9</v>
      </c>
      <c r="AC28" s="37">
        <v>289.5</v>
      </c>
      <c r="AD28" s="38">
        <v>689.8</v>
      </c>
      <c r="AE28" s="37">
        <v>259.3</v>
      </c>
      <c r="AF28" s="38">
        <v>775.1</v>
      </c>
      <c r="AG28" s="41">
        <v>205.8</v>
      </c>
      <c r="AH28" s="45">
        <v>169.2</v>
      </c>
    </row>
    <row r="29" spans="1:34" ht="21" customHeight="1">
      <c r="A29" s="46">
        <v>21</v>
      </c>
      <c r="B29" s="47" t="s">
        <v>47</v>
      </c>
      <c r="C29" s="41">
        <v>248.6</v>
      </c>
      <c r="D29" s="41">
        <v>217.7</v>
      </c>
      <c r="E29" s="37">
        <v>247.5</v>
      </c>
      <c r="F29" s="38">
        <v>744.1</v>
      </c>
      <c r="G29" s="37">
        <v>220.4</v>
      </c>
      <c r="H29" s="38">
        <v>411.1</v>
      </c>
      <c r="I29" s="41">
        <v>326.7</v>
      </c>
      <c r="J29" s="41">
        <v>1025.5</v>
      </c>
      <c r="K29" s="37">
        <v>265.8</v>
      </c>
      <c r="L29" s="38">
        <v>857.8</v>
      </c>
      <c r="M29" s="37">
        <v>231.3</v>
      </c>
      <c r="N29" s="38">
        <v>484.6</v>
      </c>
      <c r="O29" s="35">
        <v>207.2</v>
      </c>
      <c r="P29" s="74">
        <v>321.5</v>
      </c>
      <c r="Q29" s="41">
        <v>288.39999999999998</v>
      </c>
      <c r="R29" s="45">
        <v>765.9</v>
      </c>
      <c r="S29" s="41">
        <v>240.7</v>
      </c>
      <c r="T29" s="41">
        <v>516</v>
      </c>
      <c r="U29" s="37">
        <v>266.60000000000002</v>
      </c>
      <c r="V29" s="38">
        <v>866.3</v>
      </c>
      <c r="W29" s="41">
        <v>211.1</v>
      </c>
      <c r="X29" s="41">
        <v>160.30000000000001</v>
      </c>
      <c r="Y29" s="37">
        <v>227.9</v>
      </c>
      <c r="Z29" s="41">
        <v>189.3</v>
      </c>
      <c r="AA29" s="37">
        <v>311.10000000000002</v>
      </c>
      <c r="AB29" s="38">
        <v>947.9</v>
      </c>
      <c r="AC29" s="37">
        <v>258.2</v>
      </c>
      <c r="AD29" s="38">
        <v>617</v>
      </c>
      <c r="AE29" s="37">
        <v>254.2</v>
      </c>
      <c r="AF29" s="38">
        <v>955.1</v>
      </c>
      <c r="AG29" s="41">
        <v>215.1</v>
      </c>
      <c r="AH29" s="45">
        <v>159.1</v>
      </c>
    </row>
    <row r="30" spans="1:34">
      <c r="A30" s="46">
        <v>22</v>
      </c>
      <c r="B30" s="47" t="s">
        <v>48</v>
      </c>
      <c r="C30" s="41">
        <v>328.3</v>
      </c>
      <c r="D30" s="41">
        <v>861</v>
      </c>
      <c r="E30" s="37">
        <v>258.10000000000002</v>
      </c>
      <c r="F30" s="38">
        <v>699.6</v>
      </c>
      <c r="G30" s="37">
        <v>242</v>
      </c>
      <c r="H30" s="38">
        <v>670.1</v>
      </c>
      <c r="I30" s="41">
        <v>282.2</v>
      </c>
      <c r="J30" s="41">
        <v>1290.8</v>
      </c>
      <c r="K30" s="37">
        <v>285.3</v>
      </c>
      <c r="L30" s="38">
        <v>989.4</v>
      </c>
      <c r="M30" s="37">
        <v>235.1</v>
      </c>
      <c r="N30" s="38">
        <v>480.5</v>
      </c>
      <c r="O30" s="41">
        <v>234.8</v>
      </c>
      <c r="P30" s="38">
        <v>536.4</v>
      </c>
      <c r="Q30" s="41">
        <v>293.5</v>
      </c>
      <c r="R30" s="45">
        <v>836.6</v>
      </c>
      <c r="S30" s="41">
        <v>242.5</v>
      </c>
      <c r="T30" s="41">
        <v>505</v>
      </c>
      <c r="U30" s="37">
        <v>334.8</v>
      </c>
      <c r="V30" s="38">
        <v>915.6</v>
      </c>
      <c r="W30" s="41">
        <v>217</v>
      </c>
      <c r="X30" s="41">
        <v>164</v>
      </c>
      <c r="Y30" s="37">
        <v>233.6</v>
      </c>
      <c r="Z30" s="41">
        <v>291.89999999999998</v>
      </c>
      <c r="AA30" s="37">
        <v>292.2</v>
      </c>
      <c r="AB30" s="38">
        <v>882.8</v>
      </c>
      <c r="AC30" s="37">
        <v>269.8</v>
      </c>
      <c r="AD30" s="38">
        <v>722.8</v>
      </c>
      <c r="AE30" s="37">
        <v>256</v>
      </c>
      <c r="AF30" s="38">
        <v>860.5</v>
      </c>
      <c r="AG30" s="41">
        <v>226</v>
      </c>
      <c r="AH30" s="45">
        <v>223.2</v>
      </c>
    </row>
    <row r="31" spans="1:34">
      <c r="A31" s="46">
        <v>23</v>
      </c>
      <c r="B31" s="47" t="s">
        <v>49</v>
      </c>
      <c r="C31" s="41">
        <v>222.3</v>
      </c>
      <c r="D31" s="41">
        <v>490.4</v>
      </c>
      <c r="E31" s="37">
        <v>280</v>
      </c>
      <c r="F31" s="38">
        <v>832.4</v>
      </c>
      <c r="G31" s="37">
        <v>250.7</v>
      </c>
      <c r="H31" s="38">
        <v>709.9</v>
      </c>
      <c r="I31" s="41">
        <v>348.1</v>
      </c>
      <c r="J31" s="41">
        <v>1257</v>
      </c>
      <c r="K31" s="37">
        <v>287.7</v>
      </c>
      <c r="L31" s="38">
        <v>829.6</v>
      </c>
      <c r="M31" s="37">
        <v>260.8</v>
      </c>
      <c r="N31" s="38">
        <v>583.5</v>
      </c>
      <c r="O31" s="41">
        <v>262.3</v>
      </c>
      <c r="P31" s="38">
        <v>679.3</v>
      </c>
      <c r="Q31" s="41">
        <v>306.3</v>
      </c>
      <c r="R31" s="45">
        <v>928.7</v>
      </c>
      <c r="S31" s="41">
        <v>276.5</v>
      </c>
      <c r="T31" s="41">
        <v>835.5</v>
      </c>
      <c r="U31" s="37">
        <v>291.7</v>
      </c>
      <c r="V31" s="38">
        <v>999.7</v>
      </c>
      <c r="W31" s="41">
        <v>227.7</v>
      </c>
      <c r="X31" s="41">
        <v>266</v>
      </c>
      <c r="Y31" s="37">
        <v>250.8</v>
      </c>
      <c r="Z31" s="41">
        <v>360.4</v>
      </c>
      <c r="AA31" s="37">
        <v>320.3</v>
      </c>
      <c r="AB31" s="38">
        <v>1053.8</v>
      </c>
      <c r="AC31" s="37">
        <v>282.2</v>
      </c>
      <c r="AD31" s="38">
        <v>689.7</v>
      </c>
      <c r="AE31" s="37">
        <v>268.5</v>
      </c>
      <c r="AF31" s="38">
        <v>871.9</v>
      </c>
      <c r="AG31" s="41">
        <v>233.2</v>
      </c>
      <c r="AH31" s="45">
        <v>233.5</v>
      </c>
    </row>
    <row r="32" spans="1:34">
      <c r="A32" s="46">
        <v>24</v>
      </c>
      <c r="B32" s="47" t="s">
        <v>50</v>
      </c>
      <c r="C32" s="41">
        <v>256.7</v>
      </c>
      <c r="D32" s="41">
        <v>862.6</v>
      </c>
      <c r="E32" s="37">
        <v>236.8</v>
      </c>
      <c r="F32" s="38">
        <v>492.5</v>
      </c>
      <c r="G32" s="37">
        <v>246.1</v>
      </c>
      <c r="H32" s="38">
        <v>743.5</v>
      </c>
      <c r="I32" s="41">
        <v>341.1</v>
      </c>
      <c r="J32" s="41">
        <v>1341.9</v>
      </c>
      <c r="K32" s="37">
        <v>268.39999999999998</v>
      </c>
      <c r="L32" s="38">
        <v>588</v>
      </c>
      <c r="M32" s="37">
        <v>217.8</v>
      </c>
      <c r="N32" s="38">
        <v>404.2</v>
      </c>
      <c r="O32" s="41">
        <v>235</v>
      </c>
      <c r="P32" s="38">
        <v>451</v>
      </c>
      <c r="Q32" s="41">
        <v>294.60000000000002</v>
      </c>
      <c r="R32" s="45">
        <v>811.5</v>
      </c>
      <c r="S32" s="41">
        <v>249</v>
      </c>
      <c r="T32" s="41">
        <v>454.4</v>
      </c>
      <c r="U32" s="37">
        <v>275.89999999999998</v>
      </c>
      <c r="V32" s="38">
        <v>883</v>
      </c>
      <c r="W32" s="41">
        <v>220.4</v>
      </c>
      <c r="X32" s="41">
        <v>280.7</v>
      </c>
      <c r="Y32" s="37">
        <v>231</v>
      </c>
      <c r="Z32" s="41">
        <v>329.5</v>
      </c>
      <c r="AA32" s="37">
        <v>294.7</v>
      </c>
      <c r="AB32" s="38">
        <v>929</v>
      </c>
      <c r="AC32" s="37">
        <v>269.7</v>
      </c>
      <c r="AD32" s="38">
        <v>638.20000000000005</v>
      </c>
      <c r="AE32" s="37">
        <v>236.2</v>
      </c>
      <c r="AF32" s="38">
        <v>761.7</v>
      </c>
      <c r="AG32" s="41">
        <v>217.8</v>
      </c>
      <c r="AH32" s="45">
        <v>217.5</v>
      </c>
    </row>
    <row r="33" spans="1:34">
      <c r="A33" s="51">
        <v>25</v>
      </c>
      <c r="B33" s="52" t="s">
        <v>51</v>
      </c>
      <c r="C33" s="41">
        <v>230.1</v>
      </c>
      <c r="D33" s="41">
        <v>190</v>
      </c>
      <c r="E33" s="37">
        <v>273.89999999999998</v>
      </c>
      <c r="F33" s="38">
        <v>734.3</v>
      </c>
      <c r="G33" s="37">
        <v>244.3</v>
      </c>
      <c r="H33" s="38">
        <v>663.2</v>
      </c>
      <c r="I33" s="41">
        <v>378</v>
      </c>
      <c r="J33" s="41">
        <v>1603.1</v>
      </c>
      <c r="K33" s="37">
        <v>261.89999999999998</v>
      </c>
      <c r="L33" s="38">
        <v>439.4</v>
      </c>
      <c r="M33" s="37">
        <v>234.1</v>
      </c>
      <c r="N33" s="38">
        <v>488.3</v>
      </c>
      <c r="O33" s="41">
        <v>227.4</v>
      </c>
      <c r="P33" s="38">
        <v>419</v>
      </c>
      <c r="Q33" s="41">
        <v>288.60000000000002</v>
      </c>
      <c r="R33" s="45">
        <v>999.4</v>
      </c>
      <c r="S33" s="41">
        <v>260.89999999999998</v>
      </c>
      <c r="T33" s="41">
        <v>662.2</v>
      </c>
      <c r="U33" s="37">
        <v>293.3</v>
      </c>
      <c r="V33" s="38">
        <v>875.2</v>
      </c>
      <c r="W33" s="41">
        <v>238</v>
      </c>
      <c r="X33" s="41">
        <v>308.10000000000002</v>
      </c>
      <c r="Y33" s="37">
        <v>231.6</v>
      </c>
      <c r="Z33" s="41">
        <v>308.10000000000002</v>
      </c>
      <c r="AA33" s="37">
        <v>324.5</v>
      </c>
      <c r="AB33" s="38">
        <v>1039.0999999999999</v>
      </c>
      <c r="AC33" s="37">
        <v>280.39999999999998</v>
      </c>
      <c r="AD33" s="38">
        <v>616.6</v>
      </c>
      <c r="AE33" s="37">
        <v>242.2</v>
      </c>
      <c r="AF33" s="38">
        <v>622.20000000000005</v>
      </c>
      <c r="AG33" s="41">
        <v>231.1</v>
      </c>
      <c r="AH33" s="45">
        <v>335.8</v>
      </c>
    </row>
    <row r="34" spans="1:34" ht="21" customHeight="1">
      <c r="A34" s="46">
        <v>26</v>
      </c>
      <c r="B34" s="47" t="s">
        <v>52</v>
      </c>
      <c r="C34" s="41">
        <v>264.7</v>
      </c>
      <c r="D34" s="41">
        <v>994.7</v>
      </c>
      <c r="E34" s="37">
        <v>262.89999999999998</v>
      </c>
      <c r="F34" s="38">
        <v>749.8</v>
      </c>
      <c r="G34" s="37">
        <v>262.7</v>
      </c>
      <c r="H34" s="38">
        <v>694.9</v>
      </c>
      <c r="I34" s="41">
        <v>305.8</v>
      </c>
      <c r="J34" s="41">
        <v>1334.8</v>
      </c>
      <c r="K34" s="37">
        <v>317.5</v>
      </c>
      <c r="L34" s="38">
        <v>842.9</v>
      </c>
      <c r="M34" s="37">
        <v>254.2</v>
      </c>
      <c r="N34" s="38">
        <v>421.5</v>
      </c>
      <c r="O34" s="41">
        <v>258.60000000000002</v>
      </c>
      <c r="P34" s="38">
        <v>616.6</v>
      </c>
      <c r="Q34" s="41">
        <v>308</v>
      </c>
      <c r="R34" s="45">
        <v>911.8</v>
      </c>
      <c r="S34" s="41">
        <v>260</v>
      </c>
      <c r="T34" s="41">
        <v>575.9</v>
      </c>
      <c r="U34" s="37">
        <v>307.3</v>
      </c>
      <c r="V34" s="38">
        <v>1007.1</v>
      </c>
      <c r="W34" s="41">
        <v>297.8</v>
      </c>
      <c r="X34" s="41">
        <v>726.5</v>
      </c>
      <c r="Y34" s="37">
        <v>264.5</v>
      </c>
      <c r="Z34" s="41">
        <v>337.8</v>
      </c>
      <c r="AA34" s="37">
        <v>355.9</v>
      </c>
      <c r="AB34" s="38">
        <v>1342.7</v>
      </c>
      <c r="AC34" s="37">
        <v>294.8</v>
      </c>
      <c r="AD34" s="38">
        <v>743.5</v>
      </c>
      <c r="AE34" s="37">
        <v>255.7</v>
      </c>
      <c r="AF34" s="38">
        <v>699.6</v>
      </c>
      <c r="AG34" s="41">
        <v>227.4</v>
      </c>
      <c r="AH34" s="45">
        <v>212.6</v>
      </c>
    </row>
    <row r="35" spans="1:34">
      <c r="A35" s="46">
        <v>27</v>
      </c>
      <c r="B35" s="47" t="s">
        <v>53</v>
      </c>
      <c r="C35" s="41">
        <v>325.39999999999998</v>
      </c>
      <c r="D35" s="41">
        <v>887.3</v>
      </c>
      <c r="E35" s="37">
        <v>307</v>
      </c>
      <c r="F35" s="38">
        <v>1029.5</v>
      </c>
      <c r="G35" s="37">
        <v>276.39999999999998</v>
      </c>
      <c r="H35" s="38">
        <v>754.7</v>
      </c>
      <c r="I35" s="41">
        <v>323.2</v>
      </c>
      <c r="J35" s="41">
        <v>1381.5</v>
      </c>
      <c r="K35" s="37">
        <v>316.2</v>
      </c>
      <c r="L35" s="38">
        <v>864.5</v>
      </c>
      <c r="M35" s="37">
        <v>275.2</v>
      </c>
      <c r="N35" s="38">
        <v>619.29999999999995</v>
      </c>
      <c r="O35" s="41">
        <v>288.5</v>
      </c>
      <c r="P35" s="38">
        <v>830.7</v>
      </c>
      <c r="Q35" s="41">
        <v>312.7</v>
      </c>
      <c r="R35" s="45">
        <v>1031.7</v>
      </c>
      <c r="S35" s="41">
        <v>294.2</v>
      </c>
      <c r="T35" s="41">
        <v>851.2</v>
      </c>
      <c r="U35" s="37">
        <v>305.39999999999998</v>
      </c>
      <c r="V35" s="38">
        <v>990.7</v>
      </c>
      <c r="W35" s="41">
        <v>252.6</v>
      </c>
      <c r="X35" s="41">
        <v>349.2</v>
      </c>
      <c r="Y35" s="37">
        <v>268.3</v>
      </c>
      <c r="Z35" s="41">
        <v>346.7</v>
      </c>
      <c r="AA35" s="37">
        <v>333.3</v>
      </c>
      <c r="AB35" s="38">
        <v>1205.4000000000001</v>
      </c>
      <c r="AC35" s="37">
        <v>289.10000000000002</v>
      </c>
      <c r="AD35" s="38">
        <v>684.7</v>
      </c>
      <c r="AE35" s="37">
        <v>283.60000000000002</v>
      </c>
      <c r="AF35" s="38">
        <v>1013.2</v>
      </c>
      <c r="AG35" s="41">
        <v>245.4</v>
      </c>
      <c r="AH35" s="45">
        <v>330.7</v>
      </c>
    </row>
    <row r="36" spans="1:34">
      <c r="A36" s="46">
        <v>28</v>
      </c>
      <c r="B36" s="47" t="s">
        <v>54</v>
      </c>
      <c r="C36" s="41">
        <v>271.3</v>
      </c>
      <c r="D36" s="41">
        <v>829.4</v>
      </c>
      <c r="E36" s="37">
        <v>266.89999999999998</v>
      </c>
      <c r="F36" s="38">
        <v>714.4</v>
      </c>
      <c r="G36" s="37">
        <v>235.7</v>
      </c>
      <c r="H36" s="38">
        <v>647.9</v>
      </c>
      <c r="I36" s="41">
        <v>306</v>
      </c>
      <c r="J36" s="41">
        <v>1324.7</v>
      </c>
      <c r="K36" s="37">
        <v>293.2</v>
      </c>
      <c r="L36" s="38">
        <v>881.7</v>
      </c>
      <c r="M36" s="37">
        <v>222.9</v>
      </c>
      <c r="N36" s="38">
        <v>463.2</v>
      </c>
      <c r="O36" s="41">
        <v>256.2</v>
      </c>
      <c r="P36" s="38">
        <v>554.1</v>
      </c>
      <c r="Q36" s="41">
        <v>304.39999999999998</v>
      </c>
      <c r="R36" s="45">
        <v>864.1</v>
      </c>
      <c r="S36" s="41">
        <v>281.39999999999998</v>
      </c>
      <c r="T36" s="41">
        <v>730.7</v>
      </c>
      <c r="U36" s="37">
        <v>302.2</v>
      </c>
      <c r="V36" s="38">
        <v>917.9</v>
      </c>
      <c r="W36" s="41">
        <v>227.2</v>
      </c>
      <c r="X36" s="41">
        <v>210.8</v>
      </c>
      <c r="Y36" s="37">
        <v>243.7</v>
      </c>
      <c r="Z36" s="41">
        <v>241.1</v>
      </c>
      <c r="AA36" s="37">
        <v>325.39999999999998</v>
      </c>
      <c r="AB36" s="38">
        <v>1031.5</v>
      </c>
      <c r="AC36" s="37">
        <v>289.2</v>
      </c>
      <c r="AD36" s="38">
        <v>650.9</v>
      </c>
      <c r="AE36" s="37">
        <v>255.9</v>
      </c>
      <c r="AF36" s="38">
        <v>805.9</v>
      </c>
      <c r="AG36" s="41">
        <v>231.9</v>
      </c>
      <c r="AH36" s="45">
        <v>360.2</v>
      </c>
    </row>
    <row r="37" spans="1:34">
      <c r="A37" s="46">
        <v>29</v>
      </c>
      <c r="B37" s="47" t="s">
        <v>55</v>
      </c>
      <c r="C37" s="41" t="s">
        <v>56</v>
      </c>
      <c r="D37" s="41" t="s">
        <v>56</v>
      </c>
      <c r="E37" s="37">
        <v>249.7</v>
      </c>
      <c r="F37" s="38">
        <v>804.4</v>
      </c>
      <c r="G37" s="37">
        <v>236.6</v>
      </c>
      <c r="H37" s="38">
        <v>565.6</v>
      </c>
      <c r="I37" s="41">
        <v>315.8</v>
      </c>
      <c r="J37" s="41">
        <v>1252.0999999999999</v>
      </c>
      <c r="K37" s="37">
        <v>305.89999999999998</v>
      </c>
      <c r="L37" s="38">
        <v>837.1</v>
      </c>
      <c r="M37" s="37">
        <v>247.2</v>
      </c>
      <c r="N37" s="38">
        <v>411</v>
      </c>
      <c r="O37" s="41">
        <v>236.6</v>
      </c>
      <c r="P37" s="38">
        <v>467.1</v>
      </c>
      <c r="Q37" s="41">
        <v>307.3</v>
      </c>
      <c r="R37" s="45">
        <v>884.8</v>
      </c>
      <c r="S37" s="41">
        <v>260.39999999999998</v>
      </c>
      <c r="T37" s="41">
        <v>651.4</v>
      </c>
      <c r="U37" s="37">
        <v>291.60000000000002</v>
      </c>
      <c r="V37" s="38">
        <v>865.1</v>
      </c>
      <c r="W37" s="41">
        <v>257</v>
      </c>
      <c r="X37" s="41">
        <v>627.9</v>
      </c>
      <c r="Y37" s="37">
        <v>222.3</v>
      </c>
      <c r="Z37" s="41">
        <v>216.1</v>
      </c>
      <c r="AA37" s="37">
        <v>335.5</v>
      </c>
      <c r="AB37" s="38">
        <v>1017</v>
      </c>
      <c r="AC37" s="37">
        <v>291.10000000000002</v>
      </c>
      <c r="AD37" s="38">
        <v>659.1</v>
      </c>
      <c r="AE37" s="37">
        <v>260.89999999999998</v>
      </c>
      <c r="AF37" s="38">
        <v>792.1</v>
      </c>
      <c r="AG37" s="41">
        <v>210.7</v>
      </c>
      <c r="AH37" s="45">
        <v>238.1</v>
      </c>
    </row>
    <row r="38" spans="1:34">
      <c r="A38" s="51">
        <v>30</v>
      </c>
      <c r="B38" s="52" t="s">
        <v>57</v>
      </c>
      <c r="C38" s="41">
        <v>280.89999999999998</v>
      </c>
      <c r="D38" s="41">
        <v>500</v>
      </c>
      <c r="E38" s="37">
        <v>261.10000000000002</v>
      </c>
      <c r="F38" s="38">
        <v>731.1</v>
      </c>
      <c r="G38" s="37">
        <v>225.2</v>
      </c>
      <c r="H38" s="38">
        <v>532.79999999999995</v>
      </c>
      <c r="I38" s="41">
        <v>246.2</v>
      </c>
      <c r="J38" s="41">
        <v>727.4</v>
      </c>
      <c r="K38" s="37">
        <v>268.5</v>
      </c>
      <c r="L38" s="38">
        <v>662.1</v>
      </c>
      <c r="M38" s="37">
        <v>264.7</v>
      </c>
      <c r="N38" s="38">
        <v>452.8</v>
      </c>
      <c r="O38" s="35">
        <v>219.5</v>
      </c>
      <c r="P38" s="74">
        <v>386.4</v>
      </c>
      <c r="Q38" s="41">
        <v>297.89999999999998</v>
      </c>
      <c r="R38" s="45">
        <v>800.4</v>
      </c>
      <c r="S38" s="41">
        <v>244.4</v>
      </c>
      <c r="T38" s="41">
        <v>490.6</v>
      </c>
      <c r="U38" s="37">
        <v>255.5</v>
      </c>
      <c r="V38" s="38">
        <v>603.70000000000005</v>
      </c>
      <c r="W38" s="41">
        <v>197.8</v>
      </c>
      <c r="X38" s="41">
        <v>123.4</v>
      </c>
      <c r="Y38" s="37">
        <v>203.6</v>
      </c>
      <c r="Z38" s="41">
        <v>210</v>
      </c>
      <c r="AA38" s="37">
        <v>320.89999999999998</v>
      </c>
      <c r="AB38" s="38">
        <v>913.4</v>
      </c>
      <c r="AC38" s="37">
        <v>263.60000000000002</v>
      </c>
      <c r="AD38" s="38">
        <v>656.4</v>
      </c>
      <c r="AE38" s="35">
        <v>260.10000000000002</v>
      </c>
      <c r="AF38" s="74">
        <v>978.2</v>
      </c>
      <c r="AG38" s="41">
        <v>214</v>
      </c>
      <c r="AH38" s="45">
        <v>361</v>
      </c>
    </row>
    <row r="39" spans="1:34" ht="21" customHeight="1">
      <c r="A39" s="46">
        <v>31</v>
      </c>
      <c r="B39" s="47" t="s">
        <v>58</v>
      </c>
      <c r="C39" s="41" t="s">
        <v>56</v>
      </c>
      <c r="D39" s="41" t="s">
        <v>56</v>
      </c>
      <c r="E39" s="37">
        <v>211.2</v>
      </c>
      <c r="F39" s="38">
        <v>398.3</v>
      </c>
      <c r="G39" s="37">
        <v>195.5</v>
      </c>
      <c r="H39" s="38">
        <v>292.5</v>
      </c>
      <c r="I39" s="41">
        <v>316.89999999999998</v>
      </c>
      <c r="J39" s="41">
        <v>909.8</v>
      </c>
      <c r="K39" s="37">
        <v>238.5</v>
      </c>
      <c r="L39" s="38">
        <v>669.4</v>
      </c>
      <c r="M39" s="37">
        <v>215.6</v>
      </c>
      <c r="N39" s="38">
        <v>405.2</v>
      </c>
      <c r="O39" s="41">
        <v>214.2</v>
      </c>
      <c r="P39" s="38">
        <v>372.8</v>
      </c>
      <c r="Q39" s="41">
        <v>288.5</v>
      </c>
      <c r="R39" s="45">
        <v>797.4</v>
      </c>
      <c r="S39" s="41">
        <v>232.4</v>
      </c>
      <c r="T39" s="41">
        <v>562.4</v>
      </c>
      <c r="U39" s="37">
        <v>251.4</v>
      </c>
      <c r="V39" s="38">
        <v>863.1</v>
      </c>
      <c r="W39" s="41">
        <v>200.8</v>
      </c>
      <c r="X39" s="41">
        <v>195.3</v>
      </c>
      <c r="Y39" s="37">
        <v>208.4</v>
      </c>
      <c r="Z39" s="41">
        <v>288.3</v>
      </c>
      <c r="AA39" s="37">
        <v>287.8</v>
      </c>
      <c r="AB39" s="38">
        <v>776.7</v>
      </c>
      <c r="AC39" s="37">
        <v>254.6</v>
      </c>
      <c r="AD39" s="38">
        <v>551.70000000000005</v>
      </c>
      <c r="AE39" s="37">
        <v>215.3</v>
      </c>
      <c r="AF39" s="38">
        <v>382.6</v>
      </c>
      <c r="AG39" s="41">
        <v>196</v>
      </c>
      <c r="AH39" s="45">
        <v>253.7</v>
      </c>
    </row>
    <row r="40" spans="1:34">
      <c r="A40" s="46">
        <v>32</v>
      </c>
      <c r="B40" s="47" t="s">
        <v>59</v>
      </c>
      <c r="C40" s="41">
        <v>239.1</v>
      </c>
      <c r="D40" s="41">
        <v>489.9</v>
      </c>
      <c r="E40" s="37">
        <v>223</v>
      </c>
      <c r="F40" s="38">
        <v>578.5</v>
      </c>
      <c r="G40" s="37">
        <v>214.7</v>
      </c>
      <c r="H40" s="38">
        <v>463</v>
      </c>
      <c r="I40" s="41">
        <v>332.6</v>
      </c>
      <c r="J40" s="41">
        <v>925.2</v>
      </c>
      <c r="K40" s="37">
        <v>260.7</v>
      </c>
      <c r="L40" s="38">
        <v>628.9</v>
      </c>
      <c r="M40" s="37">
        <v>206.8</v>
      </c>
      <c r="N40" s="38">
        <v>283.5</v>
      </c>
      <c r="O40" s="41">
        <v>210.6</v>
      </c>
      <c r="P40" s="38">
        <v>424.1</v>
      </c>
      <c r="Q40" s="41">
        <v>281.7</v>
      </c>
      <c r="R40" s="45">
        <v>862.8</v>
      </c>
      <c r="S40" s="41">
        <v>229.6</v>
      </c>
      <c r="T40" s="41">
        <v>429.7</v>
      </c>
      <c r="U40" s="37">
        <v>247.3</v>
      </c>
      <c r="V40" s="38">
        <v>992.3</v>
      </c>
      <c r="W40" s="41">
        <v>203.1</v>
      </c>
      <c r="X40" s="41">
        <v>198.2</v>
      </c>
      <c r="Y40" s="37">
        <v>197.2</v>
      </c>
      <c r="Z40" s="41">
        <v>296.89999999999998</v>
      </c>
      <c r="AA40" s="37">
        <v>283</v>
      </c>
      <c r="AB40" s="38">
        <v>766.7</v>
      </c>
      <c r="AC40" s="37">
        <v>242.1</v>
      </c>
      <c r="AD40" s="38">
        <v>738.6</v>
      </c>
      <c r="AE40" s="37">
        <v>253.4</v>
      </c>
      <c r="AF40" s="38">
        <v>862.5</v>
      </c>
      <c r="AG40" s="41">
        <v>226.4</v>
      </c>
      <c r="AH40" s="45">
        <v>424.3</v>
      </c>
    </row>
    <row r="41" spans="1:34">
      <c r="A41" s="46">
        <v>33</v>
      </c>
      <c r="B41" s="47" t="s">
        <v>60</v>
      </c>
      <c r="C41" s="41">
        <v>250.1</v>
      </c>
      <c r="D41" s="41">
        <v>595.4</v>
      </c>
      <c r="E41" s="37">
        <v>270.60000000000002</v>
      </c>
      <c r="F41" s="38">
        <v>660.7</v>
      </c>
      <c r="G41" s="37">
        <v>228.1</v>
      </c>
      <c r="H41" s="38">
        <v>575.20000000000005</v>
      </c>
      <c r="I41" s="41">
        <v>304.8</v>
      </c>
      <c r="J41" s="41">
        <v>864.7</v>
      </c>
      <c r="K41" s="37">
        <v>289.2</v>
      </c>
      <c r="L41" s="38">
        <v>980.6</v>
      </c>
      <c r="M41" s="37">
        <v>225.9</v>
      </c>
      <c r="N41" s="38">
        <v>428.2</v>
      </c>
      <c r="O41" s="41">
        <v>228</v>
      </c>
      <c r="P41" s="38">
        <v>393.3</v>
      </c>
      <c r="Q41" s="41">
        <v>278.2</v>
      </c>
      <c r="R41" s="45">
        <v>822.9</v>
      </c>
      <c r="S41" s="41">
        <v>247.6</v>
      </c>
      <c r="T41" s="41">
        <v>697.7</v>
      </c>
      <c r="U41" s="37">
        <v>290.89999999999998</v>
      </c>
      <c r="V41" s="38">
        <v>730</v>
      </c>
      <c r="W41" s="41">
        <v>212.5</v>
      </c>
      <c r="X41" s="41">
        <v>175.9</v>
      </c>
      <c r="Y41" s="37">
        <v>224.9</v>
      </c>
      <c r="Z41" s="41">
        <v>240.9</v>
      </c>
      <c r="AA41" s="37">
        <v>325.89999999999998</v>
      </c>
      <c r="AB41" s="38">
        <v>1027.2</v>
      </c>
      <c r="AC41" s="37">
        <v>268.3</v>
      </c>
      <c r="AD41" s="38">
        <v>604.4</v>
      </c>
      <c r="AE41" s="37">
        <v>259.10000000000002</v>
      </c>
      <c r="AF41" s="38">
        <v>723.4</v>
      </c>
      <c r="AG41" s="41">
        <v>218.9</v>
      </c>
      <c r="AH41" s="45">
        <v>196</v>
      </c>
    </row>
    <row r="42" spans="1:34">
      <c r="A42" s="46">
        <v>34</v>
      </c>
      <c r="B42" s="47" t="s">
        <v>61</v>
      </c>
      <c r="C42" s="41">
        <v>251.3</v>
      </c>
      <c r="D42" s="41">
        <v>540</v>
      </c>
      <c r="E42" s="37">
        <v>283.3</v>
      </c>
      <c r="F42" s="38">
        <v>758.3</v>
      </c>
      <c r="G42" s="37">
        <v>230.8</v>
      </c>
      <c r="H42" s="38">
        <v>678.4</v>
      </c>
      <c r="I42" s="41">
        <v>388.1</v>
      </c>
      <c r="J42" s="41">
        <v>1181.9000000000001</v>
      </c>
      <c r="K42" s="37">
        <v>277</v>
      </c>
      <c r="L42" s="38">
        <v>838.2</v>
      </c>
      <c r="M42" s="37">
        <v>254.4</v>
      </c>
      <c r="N42" s="38">
        <v>587.5</v>
      </c>
      <c r="O42" s="41">
        <v>247</v>
      </c>
      <c r="P42" s="38">
        <v>617.79999999999995</v>
      </c>
      <c r="Q42" s="41">
        <v>283</v>
      </c>
      <c r="R42" s="45">
        <v>780.7</v>
      </c>
      <c r="S42" s="41">
        <v>253.5</v>
      </c>
      <c r="T42" s="41">
        <v>604.5</v>
      </c>
      <c r="U42" s="37">
        <v>270.89999999999998</v>
      </c>
      <c r="V42" s="38">
        <v>756</v>
      </c>
      <c r="W42" s="41">
        <v>217.9</v>
      </c>
      <c r="X42" s="41">
        <v>268</v>
      </c>
      <c r="Y42" s="37">
        <v>231.3</v>
      </c>
      <c r="Z42" s="41">
        <v>279.60000000000002</v>
      </c>
      <c r="AA42" s="37">
        <v>305.89999999999998</v>
      </c>
      <c r="AB42" s="38">
        <v>968.6</v>
      </c>
      <c r="AC42" s="37">
        <v>282.39999999999998</v>
      </c>
      <c r="AD42" s="38">
        <v>699.5</v>
      </c>
      <c r="AE42" s="37">
        <v>258.2</v>
      </c>
      <c r="AF42" s="38">
        <v>763.4</v>
      </c>
      <c r="AG42" s="41">
        <v>248.8</v>
      </c>
      <c r="AH42" s="45">
        <v>373.8</v>
      </c>
    </row>
    <row r="43" spans="1:34">
      <c r="A43" s="51">
        <v>35</v>
      </c>
      <c r="B43" s="52" t="s">
        <v>62</v>
      </c>
      <c r="C43" s="41">
        <v>266.3</v>
      </c>
      <c r="D43" s="41">
        <v>1200.2</v>
      </c>
      <c r="E43" s="37">
        <v>222.1</v>
      </c>
      <c r="F43" s="38">
        <v>622.20000000000005</v>
      </c>
      <c r="G43" s="37">
        <v>256.89999999999998</v>
      </c>
      <c r="H43" s="38">
        <v>716.9</v>
      </c>
      <c r="I43" s="41">
        <v>297.7</v>
      </c>
      <c r="J43" s="41">
        <v>1074.4000000000001</v>
      </c>
      <c r="K43" s="37">
        <v>291.7</v>
      </c>
      <c r="L43" s="38">
        <v>714</v>
      </c>
      <c r="M43" s="37">
        <v>225.6</v>
      </c>
      <c r="N43" s="38">
        <v>403</v>
      </c>
      <c r="O43" s="41">
        <v>212.1</v>
      </c>
      <c r="P43" s="38">
        <v>398.3</v>
      </c>
      <c r="Q43" s="41">
        <v>278</v>
      </c>
      <c r="R43" s="45">
        <v>776.4</v>
      </c>
      <c r="S43" s="41">
        <v>236.8</v>
      </c>
      <c r="T43" s="41">
        <v>557.29999999999995</v>
      </c>
      <c r="U43" s="37">
        <v>248</v>
      </c>
      <c r="V43" s="38">
        <v>906.6</v>
      </c>
      <c r="W43" s="41">
        <v>202.4</v>
      </c>
      <c r="X43" s="41">
        <v>193.5</v>
      </c>
      <c r="Y43" s="37">
        <v>223.3</v>
      </c>
      <c r="Z43" s="41">
        <v>290.3</v>
      </c>
      <c r="AA43" s="37">
        <v>274.8</v>
      </c>
      <c r="AB43" s="38">
        <v>802.4</v>
      </c>
      <c r="AC43" s="37">
        <v>256.3</v>
      </c>
      <c r="AD43" s="38">
        <v>748.7</v>
      </c>
      <c r="AE43" s="37">
        <v>249.7</v>
      </c>
      <c r="AF43" s="38">
        <v>769.8</v>
      </c>
      <c r="AG43" s="41">
        <v>215.2</v>
      </c>
      <c r="AH43" s="45">
        <v>226.7</v>
      </c>
    </row>
    <row r="44" spans="1:34" ht="21" customHeight="1">
      <c r="A44" s="46">
        <v>36</v>
      </c>
      <c r="B44" s="47" t="s">
        <v>63</v>
      </c>
      <c r="C44" s="41" t="s">
        <v>56</v>
      </c>
      <c r="D44" s="41" t="s">
        <v>56</v>
      </c>
      <c r="E44" s="37">
        <v>249.9</v>
      </c>
      <c r="F44" s="38">
        <v>771.3</v>
      </c>
      <c r="G44" s="37">
        <v>251.1</v>
      </c>
      <c r="H44" s="38">
        <v>815</v>
      </c>
      <c r="I44" s="41">
        <v>290.39999999999998</v>
      </c>
      <c r="J44" s="41">
        <v>1067.5999999999999</v>
      </c>
      <c r="K44" s="37">
        <v>289.89999999999998</v>
      </c>
      <c r="L44" s="38">
        <v>990.2</v>
      </c>
      <c r="M44" s="37">
        <v>225.7</v>
      </c>
      <c r="N44" s="38">
        <v>435.5</v>
      </c>
      <c r="O44" s="41">
        <v>213.7</v>
      </c>
      <c r="P44" s="38">
        <v>353.4</v>
      </c>
      <c r="Q44" s="41">
        <v>292.39999999999998</v>
      </c>
      <c r="R44" s="45">
        <v>923.8</v>
      </c>
      <c r="S44" s="41">
        <v>226.8</v>
      </c>
      <c r="T44" s="41">
        <v>621.9</v>
      </c>
      <c r="U44" s="37">
        <v>302.60000000000002</v>
      </c>
      <c r="V44" s="38">
        <v>993.5</v>
      </c>
      <c r="W44" s="41">
        <v>219.9</v>
      </c>
      <c r="X44" s="41">
        <v>336.6</v>
      </c>
      <c r="Y44" s="37">
        <v>213.2</v>
      </c>
      <c r="Z44" s="41">
        <v>286.89999999999998</v>
      </c>
      <c r="AA44" s="37">
        <v>285.5</v>
      </c>
      <c r="AB44" s="38">
        <v>873.5</v>
      </c>
      <c r="AC44" s="37">
        <v>261.5</v>
      </c>
      <c r="AD44" s="38">
        <v>637.1</v>
      </c>
      <c r="AE44" s="37">
        <v>228</v>
      </c>
      <c r="AF44" s="38">
        <v>804.8</v>
      </c>
      <c r="AG44" s="41">
        <v>192.1</v>
      </c>
      <c r="AH44" s="45">
        <v>337.6</v>
      </c>
    </row>
    <row r="45" spans="1:34">
      <c r="A45" s="46">
        <v>37</v>
      </c>
      <c r="B45" s="47" t="s">
        <v>64</v>
      </c>
      <c r="C45" s="41">
        <v>266.39999999999998</v>
      </c>
      <c r="D45" s="41">
        <v>382.9</v>
      </c>
      <c r="E45" s="37">
        <v>252.4</v>
      </c>
      <c r="F45" s="38">
        <v>762.7</v>
      </c>
      <c r="G45" s="37">
        <v>237</v>
      </c>
      <c r="H45" s="38">
        <v>741.8</v>
      </c>
      <c r="I45" s="41">
        <v>326.3</v>
      </c>
      <c r="J45" s="41">
        <v>1082.7</v>
      </c>
      <c r="K45" s="37">
        <v>327</v>
      </c>
      <c r="L45" s="38">
        <v>1466.2</v>
      </c>
      <c r="M45" s="37">
        <v>227.9</v>
      </c>
      <c r="N45" s="38">
        <v>417.8</v>
      </c>
      <c r="O45" s="41">
        <v>236.2</v>
      </c>
      <c r="P45" s="38">
        <v>560.20000000000005</v>
      </c>
      <c r="Q45" s="41">
        <v>278.60000000000002</v>
      </c>
      <c r="R45" s="45">
        <v>906.6</v>
      </c>
      <c r="S45" s="41">
        <v>243.1</v>
      </c>
      <c r="T45" s="41">
        <v>536.6</v>
      </c>
      <c r="U45" s="37">
        <v>269.89999999999998</v>
      </c>
      <c r="V45" s="38">
        <v>754.3</v>
      </c>
      <c r="W45" s="41">
        <v>208.9</v>
      </c>
      <c r="X45" s="41">
        <v>183.4</v>
      </c>
      <c r="Y45" s="37">
        <v>217.5</v>
      </c>
      <c r="Z45" s="41">
        <v>208.8</v>
      </c>
      <c r="AA45" s="37">
        <v>279.10000000000002</v>
      </c>
      <c r="AB45" s="38">
        <v>912.5</v>
      </c>
      <c r="AC45" s="37">
        <v>259.89999999999998</v>
      </c>
      <c r="AD45" s="38">
        <v>622.79999999999995</v>
      </c>
      <c r="AE45" s="37">
        <v>243.3</v>
      </c>
      <c r="AF45" s="38">
        <v>797.6</v>
      </c>
      <c r="AG45" s="41">
        <v>197.6</v>
      </c>
      <c r="AH45" s="45">
        <v>140.4</v>
      </c>
    </row>
    <row r="46" spans="1:34">
      <c r="A46" s="46">
        <v>38</v>
      </c>
      <c r="B46" s="47" t="s">
        <v>65</v>
      </c>
      <c r="C46" s="41">
        <v>190.3</v>
      </c>
      <c r="D46" s="45">
        <v>509.5</v>
      </c>
      <c r="E46" s="37">
        <v>224.9</v>
      </c>
      <c r="F46" s="38">
        <v>643.4</v>
      </c>
      <c r="G46" s="37">
        <v>208.9</v>
      </c>
      <c r="H46" s="38">
        <v>477.2</v>
      </c>
      <c r="I46" s="41">
        <v>247.8</v>
      </c>
      <c r="J46" s="41">
        <v>875.6</v>
      </c>
      <c r="K46" s="37">
        <v>273.5</v>
      </c>
      <c r="L46" s="38">
        <v>693.1</v>
      </c>
      <c r="M46" s="37">
        <v>222.2</v>
      </c>
      <c r="N46" s="38">
        <v>526.9</v>
      </c>
      <c r="O46" s="41">
        <v>215.3</v>
      </c>
      <c r="P46" s="38">
        <v>360.1</v>
      </c>
      <c r="Q46" s="41">
        <v>267.60000000000002</v>
      </c>
      <c r="R46" s="45">
        <v>748.7</v>
      </c>
      <c r="S46" s="41">
        <v>221</v>
      </c>
      <c r="T46" s="41">
        <v>465.1</v>
      </c>
      <c r="U46" s="37">
        <v>252.5</v>
      </c>
      <c r="V46" s="38">
        <v>734.3</v>
      </c>
      <c r="W46" s="41">
        <v>195.4</v>
      </c>
      <c r="X46" s="41">
        <v>135.5</v>
      </c>
      <c r="Y46" s="37">
        <v>217.9</v>
      </c>
      <c r="Z46" s="41">
        <v>285.7</v>
      </c>
      <c r="AA46" s="37">
        <v>288.5</v>
      </c>
      <c r="AB46" s="38">
        <v>878.5</v>
      </c>
      <c r="AC46" s="37">
        <v>255.3</v>
      </c>
      <c r="AD46" s="38">
        <v>630.6</v>
      </c>
      <c r="AE46" s="37">
        <v>244.4</v>
      </c>
      <c r="AF46" s="38">
        <v>735.3</v>
      </c>
      <c r="AG46" s="41">
        <v>202.4</v>
      </c>
      <c r="AH46" s="45">
        <v>278.60000000000002</v>
      </c>
    </row>
    <row r="47" spans="1:34">
      <c r="A47" s="46">
        <v>39</v>
      </c>
      <c r="B47" s="47" t="s">
        <v>66</v>
      </c>
      <c r="C47" s="41">
        <v>287.89999999999998</v>
      </c>
      <c r="D47" s="41">
        <v>1039.0999999999999</v>
      </c>
      <c r="E47" s="37">
        <v>206.1</v>
      </c>
      <c r="F47" s="38">
        <v>377.1</v>
      </c>
      <c r="G47" s="37">
        <v>208.4</v>
      </c>
      <c r="H47" s="38">
        <v>475.2</v>
      </c>
      <c r="I47" s="41">
        <v>266</v>
      </c>
      <c r="J47" s="41">
        <v>843.8</v>
      </c>
      <c r="K47" s="37">
        <v>260</v>
      </c>
      <c r="L47" s="38">
        <v>920.4</v>
      </c>
      <c r="M47" s="37">
        <v>200.9</v>
      </c>
      <c r="N47" s="38">
        <v>332.9</v>
      </c>
      <c r="O47" s="41">
        <v>212.1</v>
      </c>
      <c r="P47" s="38">
        <v>401.7</v>
      </c>
      <c r="Q47" s="41">
        <v>293.39999999999998</v>
      </c>
      <c r="R47" s="45">
        <v>852.8</v>
      </c>
      <c r="S47" s="41">
        <v>203.5</v>
      </c>
      <c r="T47" s="41">
        <v>404.3</v>
      </c>
      <c r="U47" s="37">
        <v>271.89999999999998</v>
      </c>
      <c r="V47" s="38">
        <v>706</v>
      </c>
      <c r="W47" s="41">
        <v>204.5</v>
      </c>
      <c r="X47" s="41">
        <v>187</v>
      </c>
      <c r="Y47" s="37">
        <v>214.2</v>
      </c>
      <c r="Z47" s="41">
        <v>371.1</v>
      </c>
      <c r="AA47" s="37">
        <v>284.89999999999998</v>
      </c>
      <c r="AB47" s="38">
        <v>814</v>
      </c>
      <c r="AC47" s="37">
        <v>257.3</v>
      </c>
      <c r="AD47" s="38">
        <v>678.3</v>
      </c>
      <c r="AE47" s="37">
        <v>255.2</v>
      </c>
      <c r="AF47" s="38">
        <v>741.3</v>
      </c>
      <c r="AG47" s="41">
        <v>208.6</v>
      </c>
      <c r="AH47" s="45">
        <v>327.2</v>
      </c>
    </row>
    <row r="48" spans="1:34">
      <c r="A48" s="51">
        <v>40</v>
      </c>
      <c r="B48" s="52" t="s">
        <v>67</v>
      </c>
      <c r="C48" s="41">
        <v>292</v>
      </c>
      <c r="D48" s="41">
        <v>1004.5</v>
      </c>
      <c r="E48" s="37">
        <v>278</v>
      </c>
      <c r="F48" s="38">
        <v>899.4</v>
      </c>
      <c r="G48" s="37">
        <v>228.3</v>
      </c>
      <c r="H48" s="38">
        <v>557.70000000000005</v>
      </c>
      <c r="I48" s="41">
        <v>303.3</v>
      </c>
      <c r="J48" s="41">
        <v>1121.5999999999999</v>
      </c>
      <c r="K48" s="37">
        <v>315.60000000000002</v>
      </c>
      <c r="L48" s="38">
        <v>1095.5999999999999</v>
      </c>
      <c r="M48" s="37">
        <v>236</v>
      </c>
      <c r="N48" s="38">
        <v>596.70000000000005</v>
      </c>
      <c r="O48" s="41">
        <v>237.8</v>
      </c>
      <c r="P48" s="38">
        <v>541.20000000000005</v>
      </c>
      <c r="Q48" s="41">
        <v>320.39999999999998</v>
      </c>
      <c r="R48" s="45">
        <v>916.9</v>
      </c>
      <c r="S48" s="41">
        <v>261.3</v>
      </c>
      <c r="T48" s="41">
        <v>719.6</v>
      </c>
      <c r="U48" s="37">
        <v>291.39999999999998</v>
      </c>
      <c r="V48" s="38">
        <v>881.7</v>
      </c>
      <c r="W48" s="41">
        <v>226.4</v>
      </c>
      <c r="X48" s="41">
        <v>278.3</v>
      </c>
      <c r="Y48" s="37">
        <v>238.4</v>
      </c>
      <c r="Z48" s="41">
        <v>310.60000000000002</v>
      </c>
      <c r="AA48" s="37">
        <v>310</v>
      </c>
      <c r="AB48" s="38">
        <v>848.7</v>
      </c>
      <c r="AC48" s="37">
        <v>264</v>
      </c>
      <c r="AD48" s="38">
        <v>595.29999999999995</v>
      </c>
      <c r="AE48" s="37">
        <v>244.4</v>
      </c>
      <c r="AF48" s="38">
        <v>826.9</v>
      </c>
      <c r="AG48" s="41">
        <v>218.1</v>
      </c>
      <c r="AH48" s="45">
        <v>310.39999999999998</v>
      </c>
    </row>
    <row r="49" spans="1:34" ht="21" customHeight="1">
      <c r="A49" s="46">
        <v>41</v>
      </c>
      <c r="B49" s="47" t="s">
        <v>68</v>
      </c>
      <c r="C49" s="41">
        <v>200.1</v>
      </c>
      <c r="D49" s="41">
        <v>175</v>
      </c>
      <c r="E49" s="37">
        <v>203.2</v>
      </c>
      <c r="F49" s="38">
        <v>641.70000000000005</v>
      </c>
      <c r="G49" s="37">
        <v>215</v>
      </c>
      <c r="H49" s="38">
        <v>543.4</v>
      </c>
      <c r="I49" s="41">
        <v>304.8</v>
      </c>
      <c r="J49" s="41">
        <v>1017.4</v>
      </c>
      <c r="K49" s="37">
        <v>231.5</v>
      </c>
      <c r="L49" s="38">
        <v>510.5</v>
      </c>
      <c r="M49" s="37">
        <v>202.3</v>
      </c>
      <c r="N49" s="38">
        <v>316.89999999999998</v>
      </c>
      <c r="O49" s="41">
        <v>233.7</v>
      </c>
      <c r="P49" s="38">
        <v>453.2</v>
      </c>
      <c r="Q49" s="41">
        <v>259.10000000000002</v>
      </c>
      <c r="R49" s="45">
        <v>790.8</v>
      </c>
      <c r="S49" s="41">
        <v>236.1</v>
      </c>
      <c r="T49" s="41">
        <v>483.6</v>
      </c>
      <c r="U49" s="37">
        <v>261.10000000000002</v>
      </c>
      <c r="V49" s="38">
        <v>789.9</v>
      </c>
      <c r="W49" s="41">
        <v>205.2</v>
      </c>
      <c r="X49" s="41">
        <v>171.9</v>
      </c>
      <c r="Y49" s="37">
        <v>216.5</v>
      </c>
      <c r="Z49" s="41">
        <v>255.3</v>
      </c>
      <c r="AA49" s="37">
        <v>263.3</v>
      </c>
      <c r="AB49" s="38">
        <v>757.4</v>
      </c>
      <c r="AC49" s="37">
        <v>260.2</v>
      </c>
      <c r="AD49" s="38">
        <v>618.20000000000005</v>
      </c>
      <c r="AE49" s="37">
        <v>249.5</v>
      </c>
      <c r="AF49" s="38">
        <v>737.7</v>
      </c>
      <c r="AG49" s="41">
        <v>213.5</v>
      </c>
      <c r="AH49" s="45">
        <v>393.6</v>
      </c>
    </row>
    <row r="50" spans="1:34">
      <c r="A50" s="46">
        <v>42</v>
      </c>
      <c r="B50" s="47" t="s">
        <v>69</v>
      </c>
      <c r="C50" s="41">
        <v>231.8</v>
      </c>
      <c r="D50" s="41">
        <v>566</v>
      </c>
      <c r="E50" s="37">
        <v>210.3</v>
      </c>
      <c r="F50" s="38">
        <v>624.29999999999995</v>
      </c>
      <c r="G50" s="37">
        <v>208.3</v>
      </c>
      <c r="H50" s="38">
        <v>484.3</v>
      </c>
      <c r="I50" s="41">
        <v>250</v>
      </c>
      <c r="J50" s="41">
        <v>656.9</v>
      </c>
      <c r="K50" s="37">
        <v>232.5</v>
      </c>
      <c r="L50" s="38">
        <v>520.79999999999995</v>
      </c>
      <c r="M50" s="35">
        <v>221.4</v>
      </c>
      <c r="N50" s="74">
        <v>313.39999999999998</v>
      </c>
      <c r="O50" s="41">
        <v>214.2</v>
      </c>
      <c r="P50" s="38">
        <v>377.9</v>
      </c>
      <c r="Q50" s="41">
        <v>288.39999999999998</v>
      </c>
      <c r="R50" s="45">
        <v>820.2</v>
      </c>
      <c r="S50" s="41">
        <v>227.1</v>
      </c>
      <c r="T50" s="41">
        <v>458.9</v>
      </c>
      <c r="U50" s="37">
        <v>288.2</v>
      </c>
      <c r="V50" s="38">
        <v>1184.2</v>
      </c>
      <c r="W50" s="35">
        <v>196.3</v>
      </c>
      <c r="X50" s="72">
        <v>172.6</v>
      </c>
      <c r="Y50" s="37">
        <v>210</v>
      </c>
      <c r="Z50" s="41">
        <v>301.5</v>
      </c>
      <c r="AA50" s="37">
        <v>278.3</v>
      </c>
      <c r="AB50" s="38">
        <v>855.1</v>
      </c>
      <c r="AC50" s="37">
        <v>258.8</v>
      </c>
      <c r="AD50" s="38">
        <v>687.8</v>
      </c>
      <c r="AE50" s="37">
        <v>228.7</v>
      </c>
      <c r="AF50" s="38">
        <v>702.3</v>
      </c>
      <c r="AG50" s="41">
        <v>200.5</v>
      </c>
      <c r="AH50" s="45">
        <v>247.6</v>
      </c>
    </row>
    <row r="51" spans="1:34">
      <c r="A51" s="46">
        <v>43</v>
      </c>
      <c r="B51" s="47" t="s">
        <v>70</v>
      </c>
      <c r="C51" s="41">
        <v>201.4</v>
      </c>
      <c r="D51" s="38">
        <v>346</v>
      </c>
      <c r="E51" s="41">
        <v>233.2</v>
      </c>
      <c r="F51" s="38">
        <v>670</v>
      </c>
      <c r="G51" s="37">
        <v>214.3</v>
      </c>
      <c r="H51" s="38">
        <v>532.9</v>
      </c>
      <c r="I51" s="41">
        <v>243.2</v>
      </c>
      <c r="J51" s="41">
        <v>656.1</v>
      </c>
      <c r="K51" s="37">
        <v>235.6</v>
      </c>
      <c r="L51" s="38">
        <v>773</v>
      </c>
      <c r="M51" s="37">
        <v>238.9</v>
      </c>
      <c r="N51" s="38">
        <v>416.2</v>
      </c>
      <c r="O51" s="41">
        <v>211.4</v>
      </c>
      <c r="P51" s="38">
        <v>413.1</v>
      </c>
      <c r="Q51" s="41">
        <v>275.8</v>
      </c>
      <c r="R51" s="45">
        <v>748.6</v>
      </c>
      <c r="S51" s="41">
        <v>235.7</v>
      </c>
      <c r="T51" s="41">
        <v>463.9</v>
      </c>
      <c r="U51" s="37">
        <v>256.89999999999998</v>
      </c>
      <c r="V51" s="38">
        <v>777.2</v>
      </c>
      <c r="W51" s="41">
        <v>195.7</v>
      </c>
      <c r="X51" s="41">
        <v>126.2</v>
      </c>
      <c r="Y51" s="37">
        <v>217.9</v>
      </c>
      <c r="Z51" s="41">
        <v>335.7</v>
      </c>
      <c r="AA51" s="37">
        <v>278.5</v>
      </c>
      <c r="AB51" s="38">
        <v>816</v>
      </c>
      <c r="AC51" s="37">
        <v>262.7</v>
      </c>
      <c r="AD51" s="38">
        <v>728.8</v>
      </c>
      <c r="AE51" s="37">
        <v>249.9</v>
      </c>
      <c r="AF51" s="38">
        <v>796.6</v>
      </c>
      <c r="AG51" s="41">
        <v>205.2</v>
      </c>
      <c r="AH51" s="45">
        <v>201.7</v>
      </c>
    </row>
    <row r="52" spans="1:34">
      <c r="A52" s="46">
        <v>44</v>
      </c>
      <c r="B52" s="47" t="s">
        <v>71</v>
      </c>
      <c r="C52" s="41">
        <v>288.8</v>
      </c>
      <c r="D52" s="38">
        <v>1068.5999999999999</v>
      </c>
      <c r="E52" s="41">
        <v>253.5</v>
      </c>
      <c r="F52" s="38">
        <v>652.5</v>
      </c>
      <c r="G52" s="37">
        <v>212.6</v>
      </c>
      <c r="H52" s="38">
        <v>551.5</v>
      </c>
      <c r="I52" s="41">
        <v>349.2</v>
      </c>
      <c r="J52" s="41">
        <v>1018.9</v>
      </c>
      <c r="K52" s="37">
        <v>267</v>
      </c>
      <c r="L52" s="38">
        <v>841.9</v>
      </c>
      <c r="M52" s="37">
        <v>216.4</v>
      </c>
      <c r="N52" s="38">
        <v>384.4</v>
      </c>
      <c r="O52" s="41">
        <v>214.2</v>
      </c>
      <c r="P52" s="38">
        <v>341</v>
      </c>
      <c r="Q52" s="41">
        <v>259.3</v>
      </c>
      <c r="R52" s="45">
        <v>668.2</v>
      </c>
      <c r="S52" s="41">
        <v>231.6</v>
      </c>
      <c r="T52" s="41">
        <v>548</v>
      </c>
      <c r="U52" s="37">
        <v>244.3</v>
      </c>
      <c r="V52" s="38">
        <v>841.7</v>
      </c>
      <c r="W52" s="41">
        <v>210.1</v>
      </c>
      <c r="X52" s="41">
        <v>225.3</v>
      </c>
      <c r="Y52" s="37">
        <v>208.9</v>
      </c>
      <c r="Z52" s="41">
        <v>225</v>
      </c>
      <c r="AA52" s="37">
        <v>275.3</v>
      </c>
      <c r="AB52" s="38">
        <v>992.2</v>
      </c>
      <c r="AC52" s="37">
        <v>250.3</v>
      </c>
      <c r="AD52" s="38">
        <v>613.4</v>
      </c>
      <c r="AE52" s="37">
        <v>225.9</v>
      </c>
      <c r="AF52" s="38">
        <v>591.1</v>
      </c>
      <c r="AG52" s="41">
        <v>205.5</v>
      </c>
      <c r="AH52" s="45">
        <v>272.60000000000002</v>
      </c>
    </row>
    <row r="53" spans="1:34">
      <c r="A53" s="51">
        <v>45</v>
      </c>
      <c r="B53" s="52" t="s">
        <v>72</v>
      </c>
      <c r="C53" s="41">
        <v>191.8</v>
      </c>
      <c r="D53" s="38">
        <v>342.3</v>
      </c>
      <c r="E53" s="41">
        <v>230.7</v>
      </c>
      <c r="F53" s="38">
        <v>599.79999999999995</v>
      </c>
      <c r="G53" s="37">
        <v>193</v>
      </c>
      <c r="H53" s="38">
        <v>464.1</v>
      </c>
      <c r="I53" s="41">
        <v>306.39999999999998</v>
      </c>
      <c r="J53" s="41">
        <v>919.9</v>
      </c>
      <c r="K53" s="37">
        <v>254.4</v>
      </c>
      <c r="L53" s="38">
        <v>575.79999999999995</v>
      </c>
      <c r="M53" s="37">
        <v>217.4</v>
      </c>
      <c r="N53" s="38">
        <v>304.89999999999998</v>
      </c>
      <c r="O53" s="41">
        <v>205.5</v>
      </c>
      <c r="P53" s="38">
        <v>301.5</v>
      </c>
      <c r="Q53" s="41">
        <v>263.7</v>
      </c>
      <c r="R53" s="45">
        <v>625.5</v>
      </c>
      <c r="S53" s="41">
        <v>234</v>
      </c>
      <c r="T53" s="41">
        <v>580</v>
      </c>
      <c r="U53" s="37">
        <v>265.10000000000002</v>
      </c>
      <c r="V53" s="38">
        <v>655.4</v>
      </c>
      <c r="W53" s="41">
        <v>184.9</v>
      </c>
      <c r="X53" s="41">
        <v>150.4</v>
      </c>
      <c r="Y53" s="37">
        <v>199.1</v>
      </c>
      <c r="Z53" s="41">
        <v>261.60000000000002</v>
      </c>
      <c r="AA53" s="37">
        <v>265.39999999999998</v>
      </c>
      <c r="AB53" s="38">
        <v>708.5</v>
      </c>
      <c r="AC53" s="37">
        <v>238.5</v>
      </c>
      <c r="AD53" s="38">
        <v>610.5</v>
      </c>
      <c r="AE53" s="37">
        <v>223.5</v>
      </c>
      <c r="AF53" s="38">
        <v>651.29999999999995</v>
      </c>
      <c r="AG53" s="41">
        <v>194.5</v>
      </c>
      <c r="AH53" s="45">
        <v>259.8</v>
      </c>
    </row>
    <row r="54" spans="1:34" ht="21" customHeight="1">
      <c r="A54" s="51">
        <v>46</v>
      </c>
      <c r="B54" s="52" t="s">
        <v>73</v>
      </c>
      <c r="C54" s="41">
        <v>251.9</v>
      </c>
      <c r="D54" s="38">
        <v>1016.6</v>
      </c>
      <c r="E54" s="41">
        <v>241.4</v>
      </c>
      <c r="F54" s="38">
        <v>668.9</v>
      </c>
      <c r="G54" s="37">
        <v>214.1</v>
      </c>
      <c r="H54" s="38">
        <v>535</v>
      </c>
      <c r="I54" s="41">
        <v>312.39999999999998</v>
      </c>
      <c r="J54" s="41">
        <v>1355.1</v>
      </c>
      <c r="K54" s="37">
        <v>280.89999999999998</v>
      </c>
      <c r="L54" s="38">
        <v>819.9</v>
      </c>
      <c r="M54" s="37">
        <v>215.3</v>
      </c>
      <c r="N54" s="38">
        <v>445.5</v>
      </c>
      <c r="O54" s="41">
        <v>208.5</v>
      </c>
      <c r="P54" s="38">
        <v>351.7</v>
      </c>
      <c r="Q54" s="41">
        <v>264.3</v>
      </c>
      <c r="R54" s="45">
        <v>844.2</v>
      </c>
      <c r="S54" s="41">
        <v>227.3</v>
      </c>
      <c r="T54" s="41">
        <v>422.2</v>
      </c>
      <c r="U54" s="37">
        <v>234.5</v>
      </c>
      <c r="V54" s="38">
        <v>550.29999999999995</v>
      </c>
      <c r="W54" s="41">
        <v>197</v>
      </c>
      <c r="X54" s="41">
        <v>168.7</v>
      </c>
      <c r="Y54" s="37">
        <v>208.6</v>
      </c>
      <c r="Z54" s="41">
        <v>319.60000000000002</v>
      </c>
      <c r="AA54" s="37">
        <v>277</v>
      </c>
      <c r="AB54" s="38">
        <v>952.7</v>
      </c>
      <c r="AC54" s="37">
        <v>244.5</v>
      </c>
      <c r="AD54" s="38">
        <v>588.70000000000005</v>
      </c>
      <c r="AE54" s="37">
        <v>210</v>
      </c>
      <c r="AF54" s="38">
        <v>565.20000000000005</v>
      </c>
      <c r="AG54" s="41">
        <v>205</v>
      </c>
      <c r="AH54" s="45">
        <v>276.2</v>
      </c>
    </row>
    <row r="55" spans="1:34" ht="15" thickBot="1">
      <c r="A55" s="53">
        <v>47</v>
      </c>
      <c r="B55" s="54" t="s">
        <v>74</v>
      </c>
      <c r="C55" s="60">
        <v>231.8</v>
      </c>
      <c r="D55" s="57">
        <v>331.3</v>
      </c>
      <c r="E55" s="58">
        <v>236.9</v>
      </c>
      <c r="F55" s="75">
        <v>552.70000000000005</v>
      </c>
      <c r="G55" s="56">
        <v>203.3</v>
      </c>
      <c r="H55" s="57">
        <v>316</v>
      </c>
      <c r="I55" s="60">
        <v>403.3</v>
      </c>
      <c r="J55" s="60">
        <v>1243.0999999999999</v>
      </c>
      <c r="K55" s="56">
        <v>234.6</v>
      </c>
      <c r="L55" s="57">
        <v>412</v>
      </c>
      <c r="M55" s="56">
        <v>240.4</v>
      </c>
      <c r="N55" s="57">
        <v>541.5</v>
      </c>
      <c r="O55" s="60">
        <v>206.6</v>
      </c>
      <c r="P55" s="57">
        <v>392.1</v>
      </c>
      <c r="Q55" s="60">
        <v>276.89999999999998</v>
      </c>
      <c r="R55" s="63">
        <v>665.5</v>
      </c>
      <c r="S55" s="60">
        <v>244.3</v>
      </c>
      <c r="T55" s="60">
        <v>431.1</v>
      </c>
      <c r="U55" s="56">
        <v>243.9</v>
      </c>
      <c r="V55" s="57">
        <v>345.7</v>
      </c>
      <c r="W55" s="60">
        <v>229.7</v>
      </c>
      <c r="X55" s="60">
        <v>175.2</v>
      </c>
      <c r="Y55" s="56">
        <v>216.9</v>
      </c>
      <c r="Z55" s="60">
        <v>354.5</v>
      </c>
      <c r="AA55" s="56">
        <v>287.2</v>
      </c>
      <c r="AB55" s="57">
        <v>627.20000000000005</v>
      </c>
      <c r="AC55" s="56">
        <v>253.8</v>
      </c>
      <c r="AD55" s="57">
        <v>507.7</v>
      </c>
      <c r="AE55" s="56">
        <v>238.6</v>
      </c>
      <c r="AF55" s="57">
        <v>679.4</v>
      </c>
      <c r="AG55" s="60">
        <v>221</v>
      </c>
      <c r="AH55" s="63">
        <v>304.3</v>
      </c>
    </row>
  </sheetData>
  <mergeCells count="19">
    <mergeCell ref="A2:B2"/>
    <mergeCell ref="A4:B6"/>
    <mergeCell ref="C4:D4"/>
    <mergeCell ref="E4:F4"/>
    <mergeCell ref="G4:H4"/>
    <mergeCell ref="AE4:AF4"/>
    <mergeCell ref="AG4:AH4"/>
    <mergeCell ref="K4:L4"/>
    <mergeCell ref="M4:N4"/>
    <mergeCell ref="O4:P4"/>
    <mergeCell ref="Q4:R4"/>
    <mergeCell ref="S4:T4"/>
    <mergeCell ref="U4:V4"/>
    <mergeCell ref="A8:B8"/>
    <mergeCell ref="W4:X4"/>
    <mergeCell ref="Y4:Z4"/>
    <mergeCell ref="AA4:AB4"/>
    <mergeCell ref="AC4:AD4"/>
    <mergeCell ref="I4:J4"/>
  </mergeCells>
  <phoneticPr fontId="2"/>
  <printOptions horizontalCentered="1"/>
  <pageMargins left="0.55118110236220474" right="0.27559055118110237" top="0.98425196850393704" bottom="0.98425196850393704" header="0.51181102362204722" footer="0.51181102362204722"/>
  <pageSetup paperSize="9" scale="67" orientation="portrait" r:id="rId1"/>
  <headerFooter alignWithMargins="0"/>
  <colBreaks count="1" manualBreakCount="1">
    <brk id="18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6</vt:i4>
      </vt:variant>
    </vt:vector>
  </HeadingPairs>
  <TitlesOfParts>
    <vt:vector size="9" baseType="lpstr">
      <vt:lpstr>男女計</vt:lpstr>
      <vt:lpstr>男</vt:lpstr>
      <vt:lpstr>女</vt:lpstr>
      <vt:lpstr>女!Print_Area</vt:lpstr>
      <vt:lpstr>男!Print_Area</vt:lpstr>
      <vt:lpstr>男女計!Print_Area</vt:lpstr>
      <vt:lpstr>女!Print_Titles</vt:lpstr>
      <vt:lpstr>男!Print_Titles</vt:lpstr>
      <vt:lpstr>男女計!Print_Titles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悠登 政村</cp:lastModifiedBy>
  <dcterms:created xsi:type="dcterms:W3CDTF">2025-01-20T05:01:29Z</dcterms:created>
  <dcterms:modified xsi:type="dcterms:W3CDTF">2025-10-02T14:17:42Z</dcterms:modified>
</cp:coreProperties>
</file>