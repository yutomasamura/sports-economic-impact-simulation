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0DE1030B-BC9A-ED44-9758-3E1E45314695}" xr6:coauthVersionLast="47" xr6:coauthVersionMax="47" xr10:uidLastSave="{00000000-0000-0000-0000-000000000000}"/>
  <bookViews>
    <workbookView xWindow="-11480" yWindow="-28800" windowWidth="51200" windowHeight="28800" xr2:uid="{00000000-000D-0000-FFFF-FFFF00000000}"/>
  </bookViews>
  <sheets>
    <sheet name="13部門" sheetId="1" r:id="rId1"/>
    <sheet name="投入係数" sheetId="2" r:id="rId2"/>
    <sheet name="逆行列係数（閉鎖型）" sheetId="3" r:id="rId3"/>
    <sheet name="逆行列係数（開放型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2" i="1" l="1"/>
  <c r="AK23" i="1"/>
  <c r="AK19" i="1"/>
  <c r="AK20" i="1"/>
  <c r="AK21" i="1"/>
  <c r="AK18" i="1"/>
  <c r="AL14" i="1"/>
  <c r="AF23" i="1"/>
  <c r="AF25" i="1" s="1"/>
  <c r="AK24" i="1"/>
  <c r="AG25" i="1"/>
  <c r="AH25" i="1"/>
  <c r="AI25" i="1"/>
  <c r="AJ25" i="1"/>
  <c r="AG24" i="1"/>
  <c r="AH24" i="1"/>
  <c r="AI24" i="1"/>
  <c r="AJ24" i="1"/>
  <c r="AF24" i="1"/>
  <c r="AL23" i="1"/>
  <c r="AG23" i="1"/>
  <c r="AH23" i="1"/>
  <c r="AI23" i="1"/>
  <c r="AJ23" i="1"/>
  <c r="AL19" i="1"/>
  <c r="AL20" i="1"/>
  <c r="AL21" i="1"/>
  <c r="AL22" i="1"/>
  <c r="AF22" i="1"/>
  <c r="AG22" i="1"/>
  <c r="AH22" i="1"/>
  <c r="AI22" i="1"/>
  <c r="AJ22" i="1"/>
  <c r="AF19" i="1"/>
  <c r="AG19" i="1"/>
  <c r="AH19" i="1"/>
  <c r="AI19" i="1"/>
  <c r="AJ19" i="1"/>
  <c r="AF20" i="1"/>
  <c r="AG20" i="1"/>
  <c r="AH20" i="1"/>
  <c r="AI20" i="1"/>
  <c r="AJ20" i="1"/>
  <c r="AF21" i="1"/>
  <c r="AG21" i="1"/>
  <c r="AH21" i="1"/>
  <c r="AI21" i="1"/>
  <c r="AJ21" i="1"/>
  <c r="AL18" i="1"/>
  <c r="AH18" i="1"/>
  <c r="AI18" i="1"/>
  <c r="AJ18" i="1"/>
  <c r="AG18" i="1"/>
  <c r="AF18" i="1"/>
  <c r="AN10" i="1"/>
  <c r="AN5" i="1"/>
  <c r="AN6" i="1"/>
  <c r="AN7" i="1"/>
  <c r="AN8" i="1"/>
  <c r="AN9" i="1"/>
  <c r="AN4" i="1"/>
  <c r="AO4" i="1"/>
  <c r="AO10" i="1" s="1"/>
  <c r="AO9" i="1"/>
  <c r="AO8" i="1"/>
  <c r="AO7" i="1"/>
  <c r="AO6" i="1"/>
  <c r="AO5" i="1"/>
  <c r="AM9" i="1"/>
  <c r="AM7" i="1"/>
  <c r="AM6" i="1"/>
  <c r="AM8" i="1" s="1"/>
  <c r="AM5" i="1"/>
  <c r="AM4" i="1"/>
  <c r="AM10" i="1" s="1"/>
  <c r="AI12" i="1"/>
  <c r="AI13" i="1" s="1"/>
  <c r="AG11" i="1"/>
  <c r="AG12" i="1" s="1"/>
  <c r="AG13" i="1" s="1"/>
  <c r="AK12" i="1"/>
  <c r="AK13" i="1"/>
  <c r="AK11" i="1"/>
  <c r="AI11" i="1"/>
  <c r="AH11" i="1"/>
  <c r="AH12" i="1" s="1"/>
  <c r="AH13" i="1" s="1"/>
  <c r="AF11" i="1"/>
  <c r="AF12" i="1" s="1"/>
  <c r="AF13" i="1" s="1"/>
  <c r="AK9" i="1"/>
  <c r="AI9" i="1"/>
  <c r="AH9" i="1"/>
  <c r="AG9" i="1"/>
  <c r="AF9" i="1"/>
  <c r="AI6" i="1"/>
  <c r="AG7" i="1"/>
  <c r="AF7" i="1"/>
  <c r="AK7" i="1"/>
  <c r="AK8" i="1" s="1"/>
  <c r="AJ7" i="1"/>
  <c r="AI7" i="1"/>
  <c r="AH7" i="1"/>
  <c r="AK6" i="1"/>
  <c r="AH6" i="1"/>
  <c r="AJ6" i="1" s="1"/>
  <c r="AL6" i="1" s="1"/>
  <c r="AG6" i="1"/>
  <c r="AG8" i="1" s="1"/>
  <c r="AG10" i="1" s="1"/>
  <c r="AG14" i="1" s="1"/>
  <c r="AF6" i="1"/>
  <c r="AF8" i="1" s="1"/>
  <c r="AK5" i="1"/>
  <c r="AI5" i="1"/>
  <c r="AH5" i="1"/>
  <c r="AJ5" i="1" s="1"/>
  <c r="AL5" i="1" s="1"/>
  <c r="AG5" i="1"/>
  <c r="AF5" i="1"/>
  <c r="AK4" i="1"/>
  <c r="AI4" i="1"/>
  <c r="AH4" i="1"/>
  <c r="AG4" i="1"/>
  <c r="AF4" i="1"/>
  <c r="AK25" i="1" l="1"/>
  <c r="AK10" i="1"/>
  <c r="AK14" i="1" s="1"/>
  <c r="AF10" i="1"/>
  <c r="AF14" i="1" s="1"/>
  <c r="AI8" i="1"/>
  <c r="AI10" i="1" s="1"/>
  <c r="AI14" i="1" s="1"/>
  <c r="AH8" i="1"/>
  <c r="AH10" i="1" s="1"/>
  <c r="AH14" i="1" s="1"/>
  <c r="AJ9" i="1"/>
  <c r="AL9" i="1" s="1"/>
  <c r="AL7" i="1"/>
  <c r="AJ4" i="1"/>
  <c r="AJ11" i="1"/>
  <c r="AT5" i="1"/>
  <c r="AT4" i="1"/>
  <c r="AS5" i="1"/>
  <c r="AR5" i="1"/>
  <c r="AS4" i="1"/>
  <c r="AR4" i="1"/>
  <c r="AJ8" i="1" l="1"/>
  <c r="AJ10" i="1"/>
  <c r="AL4" i="1"/>
  <c r="AL8" i="1"/>
  <c r="AJ12" i="1"/>
  <c r="AL11" i="1"/>
  <c r="AJ13" i="1" l="1"/>
  <c r="AL13" i="1" s="1"/>
  <c r="AL12" i="1"/>
  <c r="AL10" i="1"/>
  <c r="AJ14" i="1"/>
</calcChain>
</file>

<file path=xl/sharedStrings.xml><?xml version="1.0" encoding="utf-8"?>
<sst xmlns="http://schemas.openxmlformats.org/spreadsheetml/2006/main" count="328" uniqueCount="104">
  <si>
    <t>平成27年(2015年)産業連関表 取引基本表(生産者価格評価)(13部門)</t>
    <rPh sb="35" eb="37">
      <t>ブモン</t>
    </rPh>
    <phoneticPr fontId="4"/>
  </si>
  <si>
    <t>（単位：百万円）</t>
    <rPh sb="1" eb="3">
      <t>タンイ</t>
    </rPh>
    <rPh sb="4" eb="7">
      <t>ヒャクマンエン</t>
    </rPh>
    <phoneticPr fontId="2"/>
  </si>
  <si>
    <t>01</t>
    <phoneticPr fontId="2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</si>
  <si>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</si>
  <si>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</si>
  <si>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</si>
  <si>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</si>
  <si>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</si>
  <si>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</si>
  <si>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</si>
  <si>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</si>
  <si>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</si>
  <si>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</si>
  <si>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</si>
  <si>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</si>
  <si>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70</t>
    <phoneticPr fontId="2"/>
  </si>
  <si>
    <t>71</t>
  </si>
  <si>
    <t>72</t>
  </si>
  <si>
    <t>73</t>
  </si>
  <si>
    <t>74</t>
  </si>
  <si>
    <t>76</t>
    <phoneticPr fontId="2"/>
  </si>
  <si>
    <t>78</t>
  </si>
  <si>
    <t>79</t>
  </si>
  <si>
    <t>81</t>
    <phoneticPr fontId="2"/>
  </si>
  <si>
    <t>82</t>
  </si>
  <si>
    <t>83</t>
  </si>
  <si>
    <t>87</t>
    <phoneticPr fontId="2"/>
  </si>
  <si>
    <t>88</t>
  </si>
  <si>
    <t>97</t>
    <phoneticPr fontId="2"/>
  </si>
  <si>
    <t>農林漁業</t>
  </si>
  <si>
    <t>鉱業</t>
  </si>
  <si>
    <t>製造業</t>
  </si>
  <si>
    <t>建設</t>
  </si>
  <si>
    <t>電力・ガス・水道</t>
  </si>
  <si>
    <t>商業</t>
  </si>
  <si>
    <t>金融・保険</t>
  </si>
  <si>
    <t>不動産</t>
  </si>
  <si>
    <t>運輸・郵便</t>
  </si>
  <si>
    <t>情報通信</t>
  </si>
  <si>
    <t>公務</t>
  </si>
  <si>
    <t>サービス</t>
  </si>
  <si>
    <t>分類不明</t>
  </si>
  <si>
    <t>内生部門計</t>
  </si>
  <si>
    <t>家計外消費支出（列）</t>
  </si>
  <si>
    <t>民間消費支出</t>
  </si>
  <si>
    <t>一般政府消費支出</t>
  </si>
  <si>
    <t>県内総固定資本形成</t>
    <rPh sb="0" eb="1">
      <t>ケン</t>
    </rPh>
    <phoneticPr fontId="2"/>
  </si>
  <si>
    <t>在庫
純増</t>
    <phoneticPr fontId="2"/>
  </si>
  <si>
    <t>県内最終需要計</t>
  </si>
  <si>
    <t>県内需要合計</t>
  </si>
  <si>
    <t>移輸出</t>
    <rPh sb="0" eb="1">
      <t>イ</t>
    </rPh>
    <rPh sb="1" eb="3">
      <t>ユシュツ</t>
    </rPh>
    <phoneticPr fontId="2"/>
  </si>
  <si>
    <t>最終需要計</t>
  </si>
  <si>
    <t>需要合計</t>
  </si>
  <si>
    <t>移輸入</t>
    <rPh sb="0" eb="1">
      <t>イ</t>
    </rPh>
    <rPh sb="1" eb="3">
      <t>ユニュウ</t>
    </rPh>
    <phoneticPr fontId="2"/>
  </si>
  <si>
    <t>最終需要部門計</t>
    <rPh sb="0" eb="2">
      <t>サイシュウ</t>
    </rPh>
    <rPh sb="2" eb="4">
      <t>ジュヨウ</t>
    </rPh>
    <rPh sb="4" eb="6">
      <t>ブモン</t>
    </rPh>
    <rPh sb="6" eb="7">
      <t>ケイ</t>
    </rPh>
    <phoneticPr fontId="2"/>
  </si>
  <si>
    <t>県内生産額</t>
    <rPh sb="0" eb="2">
      <t>ケンナイ</t>
    </rPh>
    <rPh sb="2" eb="5">
      <t>セイサンガク</t>
    </rPh>
    <phoneticPr fontId="2"/>
  </si>
  <si>
    <t>01</t>
    <phoneticPr fontId="2"/>
  </si>
  <si>
    <t>家計外消費支出（行）</t>
  </si>
  <si>
    <t>91</t>
    <phoneticPr fontId="2"/>
  </si>
  <si>
    <t>雇用者所得</t>
  </si>
  <si>
    <t>92</t>
  </si>
  <si>
    <t>営業余剰</t>
  </si>
  <si>
    <t>93</t>
  </si>
  <si>
    <t>資本減耗引当</t>
  </si>
  <si>
    <t>94</t>
  </si>
  <si>
    <t>間接税（関税・輸入品商品税を除く。）</t>
  </si>
  <si>
    <t>95</t>
  </si>
  <si>
    <t>（控除）経常補助金</t>
  </si>
  <si>
    <t>96</t>
  </si>
  <si>
    <t>粗付加価値部門計</t>
  </si>
  <si>
    <t>97</t>
  </si>
  <si>
    <t>県内生産額</t>
    <rPh sb="0" eb="1">
      <t>ケン</t>
    </rPh>
    <phoneticPr fontId="2"/>
  </si>
  <si>
    <t>平均</t>
    <rPh sb="0" eb="2">
      <t>ヘイキン</t>
    </rPh>
    <phoneticPr fontId="2"/>
  </si>
  <si>
    <t>平成27年(2015年)産業連関表 投入係数表(13部門)</t>
    <rPh sb="18" eb="20">
      <t>トウニュウ</t>
    </rPh>
    <rPh sb="20" eb="22">
      <t>ケイスウ</t>
    </rPh>
    <rPh sb="22" eb="23">
      <t>ヒョウ</t>
    </rPh>
    <rPh sb="26" eb="28">
      <t>ブモン</t>
    </rPh>
    <phoneticPr fontId="4"/>
  </si>
  <si>
    <t>行和</t>
    <rPh sb="0" eb="1">
      <t>ギョウ</t>
    </rPh>
    <rPh sb="1" eb="2">
      <t>ワ</t>
    </rPh>
    <phoneticPr fontId="4"/>
  </si>
  <si>
    <t>感応度係数</t>
    <rPh sb="0" eb="3">
      <t>カンノウド</t>
    </rPh>
    <rPh sb="3" eb="5">
      <t>ケイスウ</t>
    </rPh>
    <phoneticPr fontId="4"/>
  </si>
  <si>
    <t>列和</t>
    <rPh sb="0" eb="1">
      <t>レツ</t>
    </rPh>
    <rPh sb="1" eb="2">
      <t>ワ</t>
    </rPh>
    <phoneticPr fontId="4"/>
  </si>
  <si>
    <t>影響力係数</t>
    <rPh sb="0" eb="3">
      <t>エイキョウリョク</t>
    </rPh>
    <rPh sb="3" eb="5">
      <t>ケイスウ</t>
    </rPh>
    <phoneticPr fontId="4"/>
  </si>
  <si>
    <t>平成27年(2015年)愛媛県産業連関表 逆行列係数表 [ I - A ]-1　（１３部門・閉鎖型）</t>
    <rPh sb="0" eb="2">
      <t>ヘイセイ</t>
    </rPh>
    <rPh sb="4" eb="5">
      <t>ネン</t>
    </rPh>
    <rPh sb="10" eb="11">
      <t>ネン</t>
    </rPh>
    <rPh sb="12" eb="15">
      <t>エヒメケン</t>
    </rPh>
    <rPh sb="15" eb="17">
      <t>サンギョウ</t>
    </rPh>
    <rPh sb="17" eb="19">
      <t>レンカン</t>
    </rPh>
    <rPh sb="19" eb="20">
      <t>ヒョウ</t>
    </rPh>
    <rPh sb="21" eb="24">
      <t>ギャクギョウレツ</t>
    </rPh>
    <rPh sb="24" eb="26">
      <t>ケイスウ</t>
    </rPh>
    <rPh sb="26" eb="27">
      <t>ヒョウ</t>
    </rPh>
    <rPh sb="43" eb="45">
      <t>ブモン</t>
    </rPh>
    <rPh sb="46" eb="49">
      <t>ヘイサガタ</t>
    </rPh>
    <phoneticPr fontId="4"/>
  </si>
  <si>
    <t>平成27年(2015年)愛媛県産業連関表 逆行列係数表[ I - ( I - M^ )A ]-1　(１３部門・開放型)</t>
    <rPh sb="55" eb="58">
      <t>カイホウガタ</t>
    </rPh>
    <phoneticPr fontId="3"/>
  </si>
  <si>
    <t>第一・第二次産業</t>
    <rPh sb="0" eb="2">
      <t>ダイイティ</t>
    </rPh>
    <rPh sb="3" eb="8">
      <t>ダイ</t>
    </rPh>
    <phoneticPr fontId="2"/>
  </si>
  <si>
    <t>第三次産業</t>
    <rPh sb="0" eb="3">
      <t>ダイサンジ</t>
    </rPh>
    <rPh sb="3" eb="5">
      <t>サンギョウ</t>
    </rPh>
    <phoneticPr fontId="2"/>
  </si>
  <si>
    <t>第三次産業</t>
    <rPh sb="0" eb="1">
      <t>ダイサンジ</t>
    </rPh>
    <phoneticPr fontId="2"/>
  </si>
  <si>
    <t>生産額</t>
    <rPh sb="0" eb="3">
      <t>セイサンガク</t>
    </rPh>
    <phoneticPr fontId="2"/>
  </si>
  <si>
    <t>第一次産業</t>
    <rPh sb="0" eb="5">
      <t>ダイイティ</t>
    </rPh>
    <phoneticPr fontId="2"/>
  </si>
  <si>
    <t>第二次産業</t>
    <rPh sb="0" eb="5">
      <t>ダイニ</t>
    </rPh>
    <phoneticPr fontId="2"/>
  </si>
  <si>
    <t>情報通信</t>
    <rPh sb="0" eb="4">
      <t>ジョウホウ</t>
    </rPh>
    <phoneticPr fontId="2"/>
  </si>
  <si>
    <t>電力・ガス・水道</t>
    <rPh sb="0" eb="2">
      <t>デンリョク</t>
    </rPh>
    <rPh sb="6" eb="8">
      <t>スイ</t>
    </rPh>
    <phoneticPr fontId="2"/>
  </si>
  <si>
    <t>その他</t>
    <phoneticPr fontId="2"/>
  </si>
  <si>
    <t>第二次産業</t>
    <rPh sb="0" eb="1">
      <t>ダイニ</t>
    </rPh>
    <phoneticPr fontId="2"/>
  </si>
  <si>
    <t>情報通信</t>
    <rPh sb="0" eb="4">
      <t>ジョウホウツウ</t>
    </rPh>
    <phoneticPr fontId="2"/>
  </si>
  <si>
    <t>電気・ガス・水道</t>
    <rPh sb="0" eb="2">
      <t>デンキ</t>
    </rPh>
    <rPh sb="6" eb="8">
      <t>スイ</t>
    </rPh>
    <phoneticPr fontId="2"/>
  </si>
  <si>
    <t>分類不明</t>
    <rPh sb="0" eb="4">
      <t>ブンルイ</t>
    </rPh>
    <phoneticPr fontId="2"/>
  </si>
  <si>
    <t>内生部門合計</t>
    <rPh sb="0" eb="4">
      <t>ナイセイブモ</t>
    </rPh>
    <rPh sb="4" eb="6">
      <t>ゴウケイ</t>
    </rPh>
    <phoneticPr fontId="2"/>
  </si>
  <si>
    <t>内生部門合計</t>
    <rPh sb="0" eb="4">
      <t>ナイセイ</t>
    </rPh>
    <rPh sb="4" eb="6">
      <t>ゴウケイ</t>
    </rPh>
    <phoneticPr fontId="2"/>
  </si>
  <si>
    <t>雇用者所得</t>
    <rPh sb="0" eb="5">
      <t>コヨウシャ</t>
    </rPh>
    <phoneticPr fontId="2"/>
  </si>
  <si>
    <t>その他粗付加価値</t>
    <rPh sb="3" eb="8">
      <t>アラフカカティ</t>
    </rPh>
    <phoneticPr fontId="2"/>
  </si>
  <si>
    <t>粗付加価値合計</t>
    <rPh sb="0" eb="5">
      <t>アラフカカティ</t>
    </rPh>
    <rPh sb="5" eb="7">
      <t>ゴウケイ</t>
    </rPh>
    <phoneticPr fontId="2"/>
  </si>
  <si>
    <t>総生産額</t>
    <rPh sb="0" eb="4">
      <t>ソウセイサn</t>
    </rPh>
    <phoneticPr fontId="2"/>
  </si>
  <si>
    <t>民間消費支出</t>
    <rPh sb="0" eb="6">
      <t>ミンカn</t>
    </rPh>
    <phoneticPr fontId="2"/>
  </si>
  <si>
    <t>総生産額</t>
    <rPh sb="0" eb="4">
      <t>ソウセイサンガ</t>
    </rPh>
    <phoneticPr fontId="2"/>
  </si>
  <si>
    <t>その他需要</t>
    <phoneticPr fontId="2"/>
  </si>
  <si>
    <t>その他第三次産業</t>
    <rPh sb="3" eb="8">
      <t>ダイサンジ</t>
    </rPh>
    <phoneticPr fontId="2"/>
  </si>
  <si>
    <t>↑分類不明の縦の和だけ取った。その他需要は無視。</t>
    <rPh sb="1" eb="5">
      <t>ブンルイ</t>
    </rPh>
    <rPh sb="6" eb="7">
      <t>タテ</t>
    </rPh>
    <rPh sb="8" eb="9">
      <t xml:space="preserve">ワ </t>
    </rPh>
    <rPh sb="11" eb="12">
      <t>トッタ</t>
    </rPh>
    <rPh sb="21" eb="23">
      <t>ムセィ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</si>
</sst>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;[Red]\-#,##0.00000"/>
    <numFmt numFmtId="177" formatCode="#,##0.000000;[Red]\-#,##0.000000"/>
  </numFmts>
  <fonts count="10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6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vertical="center"/>
    </xf>
    <xf numFmtId="0" fontId="5" fillId="0" borderId="4" xfId="0" quotePrefix="1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5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5" fillId="0" borderId="12" xfId="0" quotePrefix="1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5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38" fontId="5" fillId="0" borderId="0" xfId="1" applyFont="1" applyBorder="1" applyAlignment="1">
      <alignment vertical="center" shrinkToFit="1"/>
    </xf>
    <xf numFmtId="38" fontId="5" fillId="0" borderId="11" xfId="1" applyFont="1" applyBorder="1" applyAlignment="1">
      <alignment vertical="center" shrinkToFit="1"/>
    </xf>
    <xf numFmtId="38" fontId="5" fillId="0" borderId="14" xfId="1" applyFont="1" applyBorder="1" applyAlignment="1">
      <alignment vertical="center" shrinkToFit="1"/>
    </xf>
    <xf numFmtId="38" fontId="5" fillId="0" borderId="15" xfId="1" applyFont="1" applyBorder="1" applyAlignment="1">
      <alignment vertical="center" shrinkToFit="1"/>
    </xf>
    <xf numFmtId="38" fontId="5" fillId="0" borderId="7" xfId="1" applyFont="1" applyBorder="1" applyAlignment="1">
      <alignment vertical="center" shrinkToFit="1"/>
    </xf>
    <xf numFmtId="38" fontId="5" fillId="0" borderId="8" xfId="1" applyFont="1" applyBorder="1" applyAlignment="1">
      <alignment vertical="center" shrinkToFit="1"/>
    </xf>
    <xf numFmtId="0" fontId="8" fillId="0" borderId="13" xfId="0" applyFont="1" applyBorder="1" applyAlignment="1">
      <alignment vertical="center" wrapText="1"/>
    </xf>
    <xf numFmtId="177" fontId="5" fillId="0" borderId="0" xfId="1" applyNumberFormat="1" applyFont="1" applyBorder="1" applyAlignment="1">
      <alignment vertical="center" shrinkToFit="1"/>
    </xf>
    <xf numFmtId="177" fontId="5" fillId="0" borderId="11" xfId="1" applyNumberFormat="1" applyFont="1" applyBorder="1" applyAlignment="1">
      <alignment vertical="center" shrinkToFit="1"/>
    </xf>
    <xf numFmtId="177" fontId="5" fillId="0" borderId="14" xfId="1" applyNumberFormat="1" applyFont="1" applyBorder="1" applyAlignment="1">
      <alignment vertical="center" shrinkToFit="1"/>
    </xf>
    <xf numFmtId="177" fontId="5" fillId="0" borderId="15" xfId="1" applyNumberFormat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177" fontId="5" fillId="0" borderId="8" xfId="1" applyNumberFormat="1" applyFont="1" applyBorder="1" applyAlignment="1">
      <alignment vertical="center" shrinkToFit="1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76" fontId="9" fillId="0" borderId="11" xfId="1" applyNumberFormat="1" applyFont="1" applyBorder="1" applyAlignment="1">
      <alignment vertical="center" shrinkToFit="1"/>
    </xf>
    <xf numFmtId="176" fontId="9" fillId="0" borderId="10" xfId="0" applyNumberFormat="1" applyFont="1" applyBorder="1" applyAlignment="1">
      <alignment vertical="center" shrinkToFit="1"/>
    </xf>
    <xf numFmtId="176" fontId="9" fillId="0" borderId="14" xfId="1" applyNumberFormat="1" applyFont="1" applyBorder="1" applyAlignment="1">
      <alignment vertical="center" shrinkToFit="1"/>
    </xf>
    <xf numFmtId="176" fontId="9" fillId="0" borderId="15" xfId="1" applyNumberFormat="1" applyFont="1" applyBorder="1" applyAlignment="1">
      <alignment vertical="center" shrinkToFit="1"/>
    </xf>
    <xf numFmtId="176" fontId="9" fillId="0" borderId="2" xfId="0" applyNumberFormat="1" applyFont="1" applyBorder="1" applyAlignment="1">
      <alignment vertical="center" shrinkToFit="1"/>
    </xf>
    <xf numFmtId="176" fontId="9" fillId="0" borderId="7" xfId="0" applyNumberFormat="1" applyFont="1" applyBorder="1" applyAlignment="1">
      <alignment vertical="center" shrinkToFit="1"/>
    </xf>
    <xf numFmtId="176" fontId="9" fillId="0" borderId="5" xfId="0" applyNumberFormat="1" applyFont="1" applyBorder="1" applyAlignment="1">
      <alignment vertical="center" shrinkToFit="1"/>
    </xf>
    <xf numFmtId="176" fontId="9" fillId="0" borderId="6" xfId="0" applyNumberFormat="1" applyFont="1" applyBorder="1" applyAlignment="1">
      <alignment vertical="center" shrinkToFit="1"/>
    </xf>
    <xf numFmtId="38" fontId="5" fillId="0" borderId="0" xfId="0" applyNumberFormat="1" applyFont="1" applyAlignment="1">
      <alignment vertical="center"/>
    </xf>
    <xf numFmtId="0" fontId="5" fillId="0" borderId="7" xfId="0" applyFont="1" applyBorder="1" applyAlignment="1">
      <alignment vertical="center"/>
    </xf>
    <xf numFmtId="38" fontId="5" fillId="0" borderId="7" xfId="0" applyNumberFormat="1" applyFont="1" applyBorder="1" applyAlignment="1">
      <alignment vertical="center"/>
    </xf>
    <xf numFmtId="38" fontId="5" fillId="0" borderId="14" xfId="0" applyNumberFormat="1" applyFont="1" applyBorder="1" applyAlignment="1">
      <alignment vertical="center"/>
    </xf>
    <xf numFmtId="38" fontId="5" fillId="0" borderId="12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11" xfId="0" applyNumberFormat="1" applyFont="1" applyBorder="1" applyAlignment="1">
      <alignment vertical="center"/>
    </xf>
    <xf numFmtId="38" fontId="5" fillId="0" borderId="15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38" fontId="5" fillId="0" borderId="3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7"/>
  <sheetViews>
    <sheetView tabSelected="1" zoomScale="135" zoomScaleNormal="136" workbookViewId="0">
      <pane xSplit="2" ySplit="3" topLeftCell="AB4" activePane="bottomRight" state="frozen"/>
      <selection pane="topRight" activeCell="C1" sqref="C1"/>
      <selection pane="bottomLeft" activeCell="A4" sqref="A4"/>
      <selection pane="bottomRight" activeCell="AC11" sqref="AC11"/>
    </sheetView>
  </sheetViews>
  <sheetFormatPr baseColWidth="10" defaultColWidth="9" defaultRowHeight="14"/>
  <cols>
    <col min="1" max="1" width="5" style="2" customWidth="1"/>
    <col min="2" max="2" width="14.33203125" style="2" customWidth="1"/>
    <col min="3" max="15" width="9" style="2"/>
    <col min="16" max="16" width="10" style="2" customWidth="1"/>
    <col min="17" max="20" width="9" style="2"/>
    <col min="21" max="21" width="7.5" style="2" bestFit="1" customWidth="1"/>
    <col min="22" max="28" width="9" style="2"/>
    <col min="29" max="29" width="10.1640625" style="2" customWidth="1"/>
    <col min="30" max="30" width="9" style="2"/>
    <col min="31" max="31" width="16" style="2" customWidth="1"/>
    <col min="32" max="32" width="11.6640625" style="2" customWidth="1"/>
    <col min="33" max="33" width="12.6640625" style="2" customWidth="1"/>
    <col min="34" max="34" width="14.83203125" style="2" customWidth="1"/>
    <col min="35" max="35" width="15.1640625" style="2" customWidth="1"/>
    <col min="36" max="36" width="16.83203125" style="2" customWidth="1"/>
    <col min="37" max="37" width="10.33203125" style="2" customWidth="1"/>
    <col min="38" max="38" width="13.33203125" style="2" customWidth="1"/>
    <col min="39" max="39" width="13.83203125" style="2" customWidth="1"/>
    <col min="40" max="40" width="11.1640625" style="2" customWidth="1"/>
    <col min="41" max="41" width="9.6640625" style="2" bestFit="1" customWidth="1"/>
    <col min="42" max="42" width="9" style="2"/>
    <col min="43" max="43" width="19.5" style="2" customWidth="1"/>
    <col min="44" max="46" width="19.1640625" style="2" customWidth="1"/>
    <col min="47" max="16384" width="9" style="2"/>
  </cols>
  <sheetData>
    <row r="1" spans="1:46" ht="19">
      <c r="C1" s="3" t="s">
        <v>0</v>
      </c>
      <c r="T1" s="2" t="s">
        <v>1</v>
      </c>
    </row>
    <row r="2" spans="1:46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7" t="s">
        <v>21</v>
      </c>
      <c r="W2" s="7" t="s">
        <v>22</v>
      </c>
      <c r="X2" s="6" t="s">
        <v>23</v>
      </c>
      <c r="Y2" s="7" t="s">
        <v>24</v>
      </c>
      <c r="Z2" s="7" t="s">
        <v>25</v>
      </c>
      <c r="AA2" s="6" t="s">
        <v>26</v>
      </c>
      <c r="AB2" s="7" t="s">
        <v>27</v>
      </c>
      <c r="AC2" s="7" t="s">
        <v>28</v>
      </c>
    </row>
    <row r="3" spans="1:46" ht="45">
      <c r="A3" s="8"/>
      <c r="B3" s="9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11" t="s">
        <v>42</v>
      </c>
      <c r="Q3" s="12" t="s">
        <v>43</v>
      </c>
      <c r="R3" s="10" t="s">
        <v>44</v>
      </c>
      <c r="S3" s="10" t="s">
        <v>45</v>
      </c>
      <c r="T3" s="10" t="s">
        <v>46</v>
      </c>
      <c r="U3" s="10" t="s">
        <v>47</v>
      </c>
      <c r="V3" s="13" t="s">
        <v>48</v>
      </c>
      <c r="W3" s="13" t="s">
        <v>49</v>
      </c>
      <c r="X3" s="10" t="s">
        <v>50</v>
      </c>
      <c r="Y3" s="13" t="s">
        <v>51</v>
      </c>
      <c r="Z3" s="13" t="s">
        <v>52</v>
      </c>
      <c r="AA3" s="10" t="s">
        <v>53</v>
      </c>
      <c r="AB3" s="11" t="s">
        <v>54</v>
      </c>
      <c r="AC3" s="11" t="s">
        <v>55</v>
      </c>
      <c r="AE3" s="55"/>
      <c r="AF3" s="2" t="s">
        <v>84</v>
      </c>
      <c r="AG3" s="2" t="s">
        <v>85</v>
      </c>
      <c r="AH3" s="2" t="s">
        <v>87</v>
      </c>
      <c r="AI3" s="2" t="s">
        <v>90</v>
      </c>
      <c r="AJ3" s="2" t="s">
        <v>88</v>
      </c>
      <c r="AK3" s="2" t="s">
        <v>92</v>
      </c>
      <c r="AL3" s="52" t="s">
        <v>93</v>
      </c>
      <c r="AM3" s="2" t="s">
        <v>99</v>
      </c>
      <c r="AN3" s="2" t="s">
        <v>101</v>
      </c>
      <c r="AO3" s="2" t="s">
        <v>100</v>
      </c>
      <c r="AR3" s="2" t="s">
        <v>80</v>
      </c>
      <c r="AS3" s="2" t="s">
        <v>81</v>
      </c>
      <c r="AT3" s="2" t="s">
        <v>83</v>
      </c>
    </row>
    <row r="4" spans="1:46" ht="27" customHeight="1">
      <c r="A4" s="14" t="s">
        <v>56</v>
      </c>
      <c r="B4" s="15" t="s">
        <v>29</v>
      </c>
      <c r="C4" s="21">
        <v>20000</v>
      </c>
      <c r="D4" s="21">
        <v>0</v>
      </c>
      <c r="E4" s="21">
        <v>82821</v>
      </c>
      <c r="F4" s="21">
        <v>551</v>
      </c>
      <c r="G4" s="21">
        <v>0</v>
      </c>
      <c r="H4" s="21">
        <v>114</v>
      </c>
      <c r="I4" s="21">
        <v>0</v>
      </c>
      <c r="J4" s="21">
        <v>0</v>
      </c>
      <c r="K4" s="21">
        <v>144</v>
      </c>
      <c r="L4" s="21">
        <v>0</v>
      </c>
      <c r="M4" s="21">
        <v>4</v>
      </c>
      <c r="N4" s="21">
        <v>14634</v>
      </c>
      <c r="O4" s="21">
        <v>0</v>
      </c>
      <c r="P4" s="22">
        <v>118268</v>
      </c>
      <c r="Q4" s="21">
        <v>630</v>
      </c>
      <c r="R4" s="21">
        <v>41658</v>
      </c>
      <c r="S4" s="21">
        <v>0</v>
      </c>
      <c r="T4" s="21">
        <v>1031</v>
      </c>
      <c r="U4" s="21">
        <v>4772</v>
      </c>
      <c r="V4" s="22">
        <v>48091</v>
      </c>
      <c r="W4" s="22">
        <v>166359</v>
      </c>
      <c r="X4" s="21">
        <v>134724</v>
      </c>
      <c r="Y4" s="22">
        <v>182815</v>
      </c>
      <c r="Z4" s="22">
        <v>301083</v>
      </c>
      <c r="AA4" s="21">
        <v>-65146</v>
      </c>
      <c r="AB4" s="22">
        <v>117669</v>
      </c>
      <c r="AC4" s="22">
        <v>235937</v>
      </c>
      <c r="AE4" s="55" t="s">
        <v>84</v>
      </c>
      <c r="AF4" s="47">
        <f>C4</f>
        <v>20000</v>
      </c>
      <c r="AG4" s="47">
        <f>SUM(D4:F4)</f>
        <v>83372</v>
      </c>
      <c r="AH4" s="47">
        <f>G4</f>
        <v>0</v>
      </c>
      <c r="AI4" s="47">
        <f>L4</f>
        <v>0</v>
      </c>
      <c r="AJ4" s="47">
        <f>SUM(G4:N4)-AH4-AI4</f>
        <v>14896</v>
      </c>
      <c r="AK4" s="47">
        <f>O4</f>
        <v>0</v>
      </c>
      <c r="AL4" s="53">
        <f t="shared" ref="AL4:AL9" si="0">SUM(AF4:AK4)</f>
        <v>118268</v>
      </c>
      <c r="AM4" s="47">
        <f>R4</f>
        <v>41658</v>
      </c>
      <c r="AN4" s="47">
        <f>AO4-AL4-AM4</f>
        <v>76011</v>
      </c>
      <c r="AO4" s="47">
        <f>AC4</f>
        <v>235937</v>
      </c>
      <c r="AQ4" s="2" t="s">
        <v>80</v>
      </c>
      <c r="AR4" s="47">
        <f>SUM(C4:F7)</f>
        <v>2270909</v>
      </c>
      <c r="AS4" s="47">
        <f>SUM(G4:N7)</f>
        <v>560989</v>
      </c>
      <c r="AT4" s="47">
        <f>SUM(AC4:AC7)</f>
        <v>4568394</v>
      </c>
    </row>
    <row r="5" spans="1:46" ht="27" customHeight="1">
      <c r="A5" s="14" t="s">
        <v>3</v>
      </c>
      <c r="B5" s="15" t="s">
        <v>30</v>
      </c>
      <c r="C5" s="21">
        <v>3</v>
      </c>
      <c r="D5" s="21">
        <v>2</v>
      </c>
      <c r="E5" s="21">
        <v>563483</v>
      </c>
      <c r="F5" s="21">
        <v>4068</v>
      </c>
      <c r="G5" s="21">
        <v>68573</v>
      </c>
      <c r="H5" s="21">
        <v>0</v>
      </c>
      <c r="I5" s="21">
        <v>0</v>
      </c>
      <c r="J5" s="21">
        <v>0</v>
      </c>
      <c r="K5" s="21">
        <v>1</v>
      </c>
      <c r="L5" s="21">
        <v>0</v>
      </c>
      <c r="M5" s="21">
        <v>1</v>
      </c>
      <c r="N5" s="21">
        <v>7</v>
      </c>
      <c r="O5" s="21">
        <v>2</v>
      </c>
      <c r="P5" s="22">
        <v>636140</v>
      </c>
      <c r="Q5" s="21">
        <v>-50</v>
      </c>
      <c r="R5" s="21">
        <v>-31</v>
      </c>
      <c r="S5" s="21">
        <v>0</v>
      </c>
      <c r="T5" s="21">
        <v>0</v>
      </c>
      <c r="U5" s="21">
        <v>-458</v>
      </c>
      <c r="V5" s="22">
        <v>-539</v>
      </c>
      <c r="W5" s="22">
        <v>635601</v>
      </c>
      <c r="X5" s="21">
        <v>282</v>
      </c>
      <c r="Y5" s="22">
        <v>-257</v>
      </c>
      <c r="Z5" s="22">
        <v>635883</v>
      </c>
      <c r="AA5" s="21">
        <v>-630617</v>
      </c>
      <c r="AB5" s="22">
        <v>-630874</v>
      </c>
      <c r="AC5" s="22">
        <v>5266</v>
      </c>
      <c r="AE5" s="55" t="s">
        <v>89</v>
      </c>
      <c r="AF5" s="47">
        <f>SUM(C5:C7)</f>
        <v>59469</v>
      </c>
      <c r="AG5" s="47">
        <f>SUM(D5:F7)</f>
        <v>2108068</v>
      </c>
      <c r="AH5" s="47">
        <f>SUM(G5:G7)</f>
        <v>103599</v>
      </c>
      <c r="AI5" s="47">
        <f>SUM(L5:L7)</f>
        <v>14970</v>
      </c>
      <c r="AJ5" s="47">
        <f>SUM(G5:N7)-AH5-AI5</f>
        <v>427524</v>
      </c>
      <c r="AK5" s="47">
        <f>SUM(O5:O7)</f>
        <v>601</v>
      </c>
      <c r="AL5" s="53">
        <f t="shared" si="0"/>
        <v>2714231</v>
      </c>
      <c r="AM5" s="47">
        <f>SUM(R5:R7)</f>
        <v>610286</v>
      </c>
      <c r="AN5" s="47">
        <f t="shared" ref="AN5:AN9" si="1">AO5-AL5-AM5</f>
        <v>1007940</v>
      </c>
      <c r="AO5" s="47">
        <f>SUM(AC5:AC7)</f>
        <v>4332457</v>
      </c>
      <c r="AQ5" s="2" t="s">
        <v>82</v>
      </c>
      <c r="AR5" s="47">
        <f>SUM(C8:F15)</f>
        <v>742563</v>
      </c>
      <c r="AS5" s="47">
        <f>SUM(G8:N15)</f>
        <v>1460067</v>
      </c>
      <c r="AT5" s="47">
        <f>SUM(AC8:AC15)</f>
        <v>5472892</v>
      </c>
    </row>
    <row r="6" spans="1:46" ht="27" customHeight="1">
      <c r="A6" s="14" t="s">
        <v>4</v>
      </c>
      <c r="B6" s="15" t="s">
        <v>31</v>
      </c>
      <c r="C6" s="21">
        <v>59062</v>
      </c>
      <c r="D6" s="21">
        <v>337</v>
      </c>
      <c r="E6" s="21">
        <v>1389082</v>
      </c>
      <c r="F6" s="21">
        <v>146623</v>
      </c>
      <c r="G6" s="21">
        <v>32479</v>
      </c>
      <c r="H6" s="21">
        <v>26719</v>
      </c>
      <c r="I6" s="21">
        <v>8566</v>
      </c>
      <c r="J6" s="21">
        <v>1580</v>
      </c>
      <c r="K6" s="21">
        <v>76225</v>
      </c>
      <c r="L6" s="21">
        <v>13807</v>
      </c>
      <c r="M6" s="21">
        <v>8749</v>
      </c>
      <c r="N6" s="21">
        <v>291452</v>
      </c>
      <c r="O6" s="21">
        <v>599</v>
      </c>
      <c r="P6" s="22">
        <v>2055280</v>
      </c>
      <c r="Q6" s="21">
        <v>15165</v>
      </c>
      <c r="R6" s="21">
        <v>610317</v>
      </c>
      <c r="S6" s="21">
        <v>38</v>
      </c>
      <c r="T6" s="21">
        <v>375644</v>
      </c>
      <c r="U6" s="21">
        <v>8956</v>
      </c>
      <c r="V6" s="22">
        <v>1010120</v>
      </c>
      <c r="W6" s="22">
        <v>3065400</v>
      </c>
      <c r="X6" s="21">
        <v>3180095</v>
      </c>
      <c r="Y6" s="22">
        <v>4190215</v>
      </c>
      <c r="Z6" s="22">
        <v>6245495</v>
      </c>
      <c r="AA6" s="21">
        <v>-2448328</v>
      </c>
      <c r="AB6" s="22">
        <v>1741887</v>
      </c>
      <c r="AC6" s="22">
        <v>3797167</v>
      </c>
      <c r="AE6" s="55" t="s">
        <v>91</v>
      </c>
      <c r="AF6" s="47">
        <f>C8</f>
        <v>2685</v>
      </c>
      <c r="AG6" s="47">
        <f>SUM(D8:F8)</f>
        <v>125165</v>
      </c>
      <c r="AH6" s="47">
        <f>SUM(G8)</f>
        <v>13264</v>
      </c>
      <c r="AI6" s="47">
        <f>L8</f>
        <v>3720</v>
      </c>
      <c r="AJ6" s="47">
        <f>SUM(G8:N8)-AH6-AI6</f>
        <v>92586</v>
      </c>
      <c r="AK6" s="47">
        <f>O8</f>
        <v>32</v>
      </c>
      <c r="AL6" s="53">
        <f t="shared" si="0"/>
        <v>237452</v>
      </c>
      <c r="AM6" s="47">
        <f>R8</f>
        <v>83130</v>
      </c>
      <c r="AN6" s="47">
        <f t="shared" si="1"/>
        <v>-51175</v>
      </c>
      <c r="AO6" s="47">
        <f>AC8</f>
        <v>269407</v>
      </c>
    </row>
    <row r="7" spans="1:46" ht="27" customHeight="1">
      <c r="A7" s="14" t="s">
        <v>5</v>
      </c>
      <c r="B7" s="15" t="s">
        <v>32</v>
      </c>
      <c r="C7" s="21">
        <v>404</v>
      </c>
      <c r="D7" s="21">
        <v>7</v>
      </c>
      <c r="E7" s="21">
        <v>4326</v>
      </c>
      <c r="F7" s="21">
        <v>140</v>
      </c>
      <c r="G7" s="21">
        <v>2547</v>
      </c>
      <c r="H7" s="21">
        <v>1969</v>
      </c>
      <c r="I7" s="21">
        <v>703</v>
      </c>
      <c r="J7" s="21">
        <v>4189</v>
      </c>
      <c r="K7" s="21">
        <v>1223</v>
      </c>
      <c r="L7" s="21">
        <v>1163</v>
      </c>
      <c r="M7" s="21">
        <v>2263</v>
      </c>
      <c r="N7" s="21">
        <v>3877</v>
      </c>
      <c r="O7" s="21">
        <v>0</v>
      </c>
      <c r="P7" s="22">
        <v>22811</v>
      </c>
      <c r="Q7" s="21">
        <v>0</v>
      </c>
      <c r="R7" s="21">
        <v>0</v>
      </c>
      <c r="S7" s="21">
        <v>0</v>
      </c>
      <c r="T7" s="21">
        <v>527285</v>
      </c>
      <c r="U7" s="21">
        <v>0</v>
      </c>
      <c r="V7" s="22">
        <v>527285</v>
      </c>
      <c r="W7" s="22">
        <v>550096</v>
      </c>
      <c r="X7" s="21">
        <v>2428</v>
      </c>
      <c r="Y7" s="22">
        <v>529713</v>
      </c>
      <c r="Z7" s="22">
        <v>552524</v>
      </c>
      <c r="AA7" s="21">
        <v>-22500</v>
      </c>
      <c r="AB7" s="22">
        <v>507213</v>
      </c>
      <c r="AC7" s="22">
        <v>530024</v>
      </c>
      <c r="AE7" s="55" t="s">
        <v>86</v>
      </c>
      <c r="AF7" s="47">
        <f>C13</f>
        <v>1227</v>
      </c>
      <c r="AG7" s="47">
        <f>SUM(D13:F13)</f>
        <v>23172</v>
      </c>
      <c r="AH7" s="47">
        <f>G13</f>
        <v>3575</v>
      </c>
      <c r="AI7" s="47">
        <f>L13</f>
        <v>81066</v>
      </c>
      <c r="AJ7" s="47">
        <f>SUM(G13:N13)-AH7-AI7</f>
        <v>110695</v>
      </c>
      <c r="AK7" s="47">
        <f>O13</f>
        <v>920</v>
      </c>
      <c r="AL7" s="53">
        <f t="shared" si="0"/>
        <v>220655</v>
      </c>
      <c r="AM7" s="47">
        <f>R13</f>
        <v>159904</v>
      </c>
      <c r="AN7" s="47">
        <f t="shared" si="1"/>
        <v>-29061</v>
      </c>
      <c r="AO7" s="47">
        <f>AC13</f>
        <v>351498</v>
      </c>
    </row>
    <row r="8" spans="1:46" ht="27" customHeight="1">
      <c r="A8" s="14" t="s">
        <v>6</v>
      </c>
      <c r="B8" s="16" t="s">
        <v>33</v>
      </c>
      <c r="C8" s="21">
        <v>2685</v>
      </c>
      <c r="D8" s="21">
        <v>184</v>
      </c>
      <c r="E8" s="21">
        <v>123234</v>
      </c>
      <c r="F8" s="21">
        <v>1747</v>
      </c>
      <c r="G8" s="21">
        <v>13264</v>
      </c>
      <c r="H8" s="21">
        <v>23419</v>
      </c>
      <c r="I8" s="21">
        <v>3055</v>
      </c>
      <c r="J8" s="21">
        <v>3601</v>
      </c>
      <c r="K8" s="21">
        <v>7740</v>
      </c>
      <c r="L8" s="21">
        <v>3720</v>
      </c>
      <c r="M8" s="21">
        <v>4317</v>
      </c>
      <c r="N8" s="21">
        <v>50453.999999999993</v>
      </c>
      <c r="O8" s="21">
        <v>32</v>
      </c>
      <c r="P8" s="22">
        <v>237452</v>
      </c>
      <c r="Q8" s="21">
        <v>88</v>
      </c>
      <c r="R8" s="21">
        <v>83130</v>
      </c>
      <c r="S8" s="21">
        <v>-833</v>
      </c>
      <c r="T8" s="21">
        <v>0</v>
      </c>
      <c r="U8" s="21">
        <v>0</v>
      </c>
      <c r="V8" s="22">
        <v>82385</v>
      </c>
      <c r="W8" s="22">
        <v>319837</v>
      </c>
      <c r="X8" s="21">
        <v>46643</v>
      </c>
      <c r="Y8" s="22">
        <v>129028</v>
      </c>
      <c r="Z8" s="22">
        <v>366480</v>
      </c>
      <c r="AA8" s="21">
        <v>-97073</v>
      </c>
      <c r="AB8" s="22">
        <v>31955</v>
      </c>
      <c r="AC8" s="22">
        <v>269407</v>
      </c>
      <c r="AE8" s="55" t="s">
        <v>88</v>
      </c>
      <c r="AF8" s="47">
        <f>SUM(C8:C15)-AF6-AF7</f>
        <v>40965</v>
      </c>
      <c r="AG8" s="47">
        <f>SUM(D8:F15)-AG6-AG7</f>
        <v>549349</v>
      </c>
      <c r="AH8" s="47">
        <f>SUM(G8:G15)-AH6-AH7</f>
        <v>48762</v>
      </c>
      <c r="AI8" s="47">
        <f>SUM(L8:L15)-AI6-AI7</f>
        <v>92133</v>
      </c>
      <c r="AJ8" s="47">
        <f>SUM(G8:N15)-AH6-AI6-AJ6-AJ7-AI7-AH7-AH8-AI8</f>
        <v>1014266</v>
      </c>
      <c r="AK8" s="47">
        <f>SUM(O8:O15)-AK6-AK7</f>
        <v>14572</v>
      </c>
      <c r="AL8" s="53">
        <f t="shared" si="0"/>
        <v>1760047</v>
      </c>
      <c r="AM8" s="47">
        <f>SUM(R8:R15)-AM6-AM7</f>
        <v>2114685</v>
      </c>
      <c r="AN8" s="47">
        <f t="shared" si="1"/>
        <v>977255</v>
      </c>
      <c r="AO8" s="47">
        <f>SUM(AC8:AC15)-AO6-AO7</f>
        <v>4851987</v>
      </c>
    </row>
    <row r="9" spans="1:46" ht="27" customHeight="1">
      <c r="A9" s="14" t="s">
        <v>7</v>
      </c>
      <c r="B9" s="15" t="s">
        <v>34</v>
      </c>
      <c r="C9" s="21">
        <v>16651</v>
      </c>
      <c r="D9" s="21">
        <v>103</v>
      </c>
      <c r="E9" s="21">
        <v>155617</v>
      </c>
      <c r="F9" s="21">
        <v>27875</v>
      </c>
      <c r="G9" s="21">
        <v>6531</v>
      </c>
      <c r="H9" s="21">
        <v>8060</v>
      </c>
      <c r="I9" s="21">
        <v>1904</v>
      </c>
      <c r="J9" s="21">
        <v>879</v>
      </c>
      <c r="K9" s="21">
        <v>24072</v>
      </c>
      <c r="L9" s="21">
        <v>3198</v>
      </c>
      <c r="M9" s="21">
        <v>2632</v>
      </c>
      <c r="N9" s="21">
        <v>95703</v>
      </c>
      <c r="O9" s="21">
        <v>100</v>
      </c>
      <c r="P9" s="22">
        <v>343325</v>
      </c>
      <c r="Q9" s="21">
        <v>15391</v>
      </c>
      <c r="R9" s="21">
        <v>365263</v>
      </c>
      <c r="S9" s="21">
        <v>90</v>
      </c>
      <c r="T9" s="21">
        <v>96154</v>
      </c>
      <c r="U9" s="21">
        <v>1011</v>
      </c>
      <c r="V9" s="22">
        <v>477909</v>
      </c>
      <c r="W9" s="22">
        <v>821234</v>
      </c>
      <c r="X9" s="21">
        <v>226599</v>
      </c>
      <c r="Y9" s="22">
        <v>704508</v>
      </c>
      <c r="Z9" s="22">
        <v>1047833</v>
      </c>
      <c r="AA9" s="21">
        <v>-269280</v>
      </c>
      <c r="AB9" s="22">
        <v>435228</v>
      </c>
      <c r="AC9" s="22">
        <v>778553</v>
      </c>
      <c r="AE9" s="55" t="s">
        <v>92</v>
      </c>
      <c r="AF9" s="47">
        <f>C16</f>
        <v>2176</v>
      </c>
      <c r="AG9" s="47">
        <f>SUM(D16:F16)</f>
        <v>24259</v>
      </c>
      <c r="AH9" s="47">
        <f>G16</f>
        <v>777</v>
      </c>
      <c r="AI9" s="47">
        <f>L16</f>
        <v>4896</v>
      </c>
      <c r="AJ9" s="47">
        <f>SUM(G16:N16)-AH9-AI9</f>
        <v>39713</v>
      </c>
      <c r="AK9" s="47">
        <f>O16</f>
        <v>0</v>
      </c>
      <c r="AL9" s="53">
        <f t="shared" si="0"/>
        <v>71821</v>
      </c>
      <c r="AM9" s="47">
        <f>R16</f>
        <v>129</v>
      </c>
      <c r="AN9" s="47">
        <f t="shared" si="1"/>
        <v>-22266</v>
      </c>
      <c r="AO9" s="47">
        <f>AC16</f>
        <v>49684</v>
      </c>
    </row>
    <row r="10" spans="1:46" ht="27" customHeight="1">
      <c r="A10" s="14" t="s">
        <v>8</v>
      </c>
      <c r="B10" s="15" t="s">
        <v>35</v>
      </c>
      <c r="C10" s="21">
        <v>1928</v>
      </c>
      <c r="D10" s="21">
        <v>231</v>
      </c>
      <c r="E10" s="21">
        <v>26547</v>
      </c>
      <c r="F10" s="21">
        <v>7242</v>
      </c>
      <c r="G10" s="21">
        <v>11067</v>
      </c>
      <c r="H10" s="21">
        <v>13053</v>
      </c>
      <c r="I10" s="21">
        <v>10116</v>
      </c>
      <c r="J10" s="21">
        <v>57087</v>
      </c>
      <c r="K10" s="21">
        <v>11867</v>
      </c>
      <c r="L10" s="21">
        <v>2417</v>
      </c>
      <c r="M10" s="21">
        <v>9270</v>
      </c>
      <c r="N10" s="21">
        <v>12628</v>
      </c>
      <c r="O10" s="21">
        <v>4</v>
      </c>
      <c r="P10" s="22">
        <v>163457</v>
      </c>
      <c r="Q10" s="21">
        <v>3</v>
      </c>
      <c r="R10" s="21">
        <v>188034</v>
      </c>
      <c r="S10" s="21">
        <v>0</v>
      </c>
      <c r="T10" s="21">
        <v>0</v>
      </c>
      <c r="U10" s="21">
        <v>0</v>
      </c>
      <c r="V10" s="22">
        <v>188037</v>
      </c>
      <c r="W10" s="22">
        <v>351494</v>
      </c>
      <c r="X10" s="21">
        <v>25141</v>
      </c>
      <c r="Y10" s="22">
        <v>213178</v>
      </c>
      <c r="Z10" s="22">
        <v>376635</v>
      </c>
      <c r="AA10" s="21">
        <v>-69371</v>
      </c>
      <c r="AB10" s="22">
        <v>143807</v>
      </c>
      <c r="AC10" s="22">
        <v>307264</v>
      </c>
      <c r="AE10" s="56" t="s">
        <v>94</v>
      </c>
      <c r="AF10" s="50">
        <f>SUM(AF4:AF9)</f>
        <v>126522</v>
      </c>
      <c r="AG10" s="50">
        <f t="shared" ref="AG10:AK10" si="2">SUM(AG4:AG9)</f>
        <v>2913385</v>
      </c>
      <c r="AH10" s="50">
        <f t="shared" si="2"/>
        <v>169977</v>
      </c>
      <c r="AI10" s="50">
        <f t="shared" si="2"/>
        <v>196785</v>
      </c>
      <c r="AJ10" s="50">
        <f t="shared" si="2"/>
        <v>1699680</v>
      </c>
      <c r="AK10" s="50">
        <f t="shared" si="2"/>
        <v>16125</v>
      </c>
      <c r="AL10" s="54">
        <f>SUM(AL4:AL9)</f>
        <v>5122474</v>
      </c>
      <c r="AM10" s="51">
        <f>SUM(AM4:AM9)</f>
        <v>3009792</v>
      </c>
      <c r="AN10" s="50">
        <f>SUM(AN4:AN9)</f>
        <v>1958704</v>
      </c>
      <c r="AO10" s="50">
        <f>SUM(AO4:AO9)</f>
        <v>10090970</v>
      </c>
    </row>
    <row r="11" spans="1:46" ht="27" customHeight="1">
      <c r="A11" s="14" t="s">
        <v>9</v>
      </c>
      <c r="B11" s="15" t="s">
        <v>36</v>
      </c>
      <c r="C11" s="21">
        <v>433</v>
      </c>
      <c r="D11" s="21">
        <v>27</v>
      </c>
      <c r="E11" s="21">
        <v>5990</v>
      </c>
      <c r="F11" s="21">
        <v>2127</v>
      </c>
      <c r="G11" s="21">
        <v>1069</v>
      </c>
      <c r="H11" s="21">
        <v>18731</v>
      </c>
      <c r="I11" s="21">
        <v>4241</v>
      </c>
      <c r="J11" s="21">
        <v>25290</v>
      </c>
      <c r="K11" s="21">
        <v>13729</v>
      </c>
      <c r="L11" s="21">
        <v>7048</v>
      </c>
      <c r="M11" s="21">
        <v>308</v>
      </c>
      <c r="N11" s="21">
        <v>25481</v>
      </c>
      <c r="O11" s="21">
        <v>141</v>
      </c>
      <c r="P11" s="22">
        <v>104615</v>
      </c>
      <c r="Q11" s="21">
        <v>0</v>
      </c>
      <c r="R11" s="21">
        <v>581788</v>
      </c>
      <c r="S11" s="21">
        <v>145</v>
      </c>
      <c r="T11" s="21">
        <v>0</v>
      </c>
      <c r="U11" s="21">
        <v>0</v>
      </c>
      <c r="V11" s="22">
        <v>581933</v>
      </c>
      <c r="W11" s="22">
        <v>686548</v>
      </c>
      <c r="X11" s="21">
        <v>9836</v>
      </c>
      <c r="Y11" s="22">
        <v>591769</v>
      </c>
      <c r="Z11" s="22">
        <v>696384</v>
      </c>
      <c r="AA11" s="21">
        <v>-22249</v>
      </c>
      <c r="AB11" s="22">
        <v>569520</v>
      </c>
      <c r="AC11" s="22">
        <v>674135</v>
      </c>
      <c r="AE11" s="55" t="s">
        <v>95</v>
      </c>
      <c r="AF11" s="47">
        <f>C19</f>
        <v>26284</v>
      </c>
      <c r="AG11" s="47">
        <f>SUM(D19:F19)</f>
        <v>623715</v>
      </c>
      <c r="AH11" s="47">
        <f>G19</f>
        <v>21944</v>
      </c>
      <c r="AI11" s="47">
        <f>L19</f>
        <v>50469</v>
      </c>
      <c r="AJ11" s="47">
        <f>SUM(G19:N19)-AH11-AI11</f>
        <v>1611896</v>
      </c>
      <c r="AK11" s="47">
        <f>O19</f>
        <v>611</v>
      </c>
      <c r="AL11" s="53">
        <f>SUM(AF11:AK11)</f>
        <v>2334919</v>
      </c>
    </row>
    <row r="12" spans="1:46" ht="27" customHeight="1">
      <c r="A12" s="14" t="s">
        <v>10</v>
      </c>
      <c r="B12" s="15" t="s">
        <v>37</v>
      </c>
      <c r="C12" s="21">
        <v>16374</v>
      </c>
      <c r="D12" s="21">
        <v>1730</v>
      </c>
      <c r="E12" s="21">
        <v>136404</v>
      </c>
      <c r="F12" s="21">
        <v>26236</v>
      </c>
      <c r="G12" s="21">
        <v>9694</v>
      </c>
      <c r="H12" s="21">
        <v>43064</v>
      </c>
      <c r="I12" s="21">
        <v>17852</v>
      </c>
      <c r="J12" s="21">
        <v>2340</v>
      </c>
      <c r="K12" s="21">
        <v>70410</v>
      </c>
      <c r="L12" s="21">
        <v>11948</v>
      </c>
      <c r="M12" s="21">
        <v>13947</v>
      </c>
      <c r="N12" s="21">
        <v>57822</v>
      </c>
      <c r="O12" s="21">
        <v>2052</v>
      </c>
      <c r="P12" s="22">
        <v>409873</v>
      </c>
      <c r="Q12" s="21">
        <v>3849</v>
      </c>
      <c r="R12" s="21">
        <v>243087</v>
      </c>
      <c r="S12" s="21">
        <v>1280</v>
      </c>
      <c r="T12" s="21">
        <v>6126</v>
      </c>
      <c r="U12" s="21">
        <v>362</v>
      </c>
      <c r="V12" s="22">
        <v>254704</v>
      </c>
      <c r="W12" s="22">
        <v>664577</v>
      </c>
      <c r="X12" s="21">
        <v>85028</v>
      </c>
      <c r="Y12" s="22">
        <v>339732</v>
      </c>
      <c r="Z12" s="22">
        <v>749605</v>
      </c>
      <c r="AA12" s="21">
        <v>-207925</v>
      </c>
      <c r="AB12" s="22">
        <v>131807</v>
      </c>
      <c r="AC12" s="22">
        <v>541680</v>
      </c>
      <c r="AE12" s="55" t="s">
        <v>96</v>
      </c>
      <c r="AF12" s="47">
        <f>C24-AF11</f>
        <v>83131</v>
      </c>
      <c r="AG12" s="47">
        <f>SUM(D24:F24)-AG11</f>
        <v>795357</v>
      </c>
      <c r="AH12" s="47">
        <f>G24-AH11</f>
        <v>77486</v>
      </c>
      <c r="AI12" s="47">
        <f>L24-AI11</f>
        <v>104244</v>
      </c>
      <c r="AJ12" s="47">
        <f>SUM(G24:N24)-G24-L24-AJ11</f>
        <v>1540411</v>
      </c>
      <c r="AK12" s="47">
        <f>O24-AK11</f>
        <v>32948</v>
      </c>
      <c r="AL12" s="53">
        <f>SUM(AF12:AK12)</f>
        <v>2633577</v>
      </c>
    </row>
    <row r="13" spans="1:46" ht="27" customHeight="1">
      <c r="A13" s="14" t="s">
        <v>11</v>
      </c>
      <c r="B13" s="15" t="s">
        <v>38</v>
      </c>
      <c r="C13" s="21">
        <v>1227</v>
      </c>
      <c r="D13" s="21">
        <v>17</v>
      </c>
      <c r="E13" s="21">
        <v>17998</v>
      </c>
      <c r="F13" s="21">
        <v>5157</v>
      </c>
      <c r="G13" s="21">
        <v>3575</v>
      </c>
      <c r="H13" s="21">
        <v>30880</v>
      </c>
      <c r="I13" s="21">
        <v>13256</v>
      </c>
      <c r="J13" s="21">
        <v>2381</v>
      </c>
      <c r="K13" s="21">
        <v>6229</v>
      </c>
      <c r="L13" s="21">
        <v>81066</v>
      </c>
      <c r="M13" s="21">
        <v>7062</v>
      </c>
      <c r="N13" s="21">
        <v>50887</v>
      </c>
      <c r="O13" s="21">
        <v>920</v>
      </c>
      <c r="P13" s="22">
        <v>220655</v>
      </c>
      <c r="Q13" s="21">
        <v>1671</v>
      </c>
      <c r="R13" s="21">
        <v>159904</v>
      </c>
      <c r="S13" s="21">
        <v>261</v>
      </c>
      <c r="T13" s="21">
        <v>78497</v>
      </c>
      <c r="U13" s="21">
        <v>-44</v>
      </c>
      <c r="V13" s="22">
        <v>240289</v>
      </c>
      <c r="W13" s="22">
        <v>460944</v>
      </c>
      <c r="X13" s="21">
        <v>73802</v>
      </c>
      <c r="Y13" s="22">
        <v>314091</v>
      </c>
      <c r="Z13" s="22">
        <v>534746</v>
      </c>
      <c r="AA13" s="21">
        <v>-183248</v>
      </c>
      <c r="AB13" s="22">
        <v>130843</v>
      </c>
      <c r="AC13" s="22">
        <v>351498</v>
      </c>
      <c r="AE13" s="56" t="s">
        <v>97</v>
      </c>
      <c r="AF13" s="50">
        <f>SUM(AF11:AF12)</f>
        <v>109415</v>
      </c>
      <c r="AG13" s="50">
        <f t="shared" ref="AG13:AK13" si="3">SUM(AG11:AG12)</f>
        <v>1419072</v>
      </c>
      <c r="AH13" s="50">
        <f t="shared" si="3"/>
        <v>99430</v>
      </c>
      <c r="AI13" s="50">
        <f t="shared" si="3"/>
        <v>154713</v>
      </c>
      <c r="AJ13" s="50">
        <f>SUM(AJ11:AJ12)</f>
        <v>3152307</v>
      </c>
      <c r="AK13" s="50">
        <f t="shared" si="3"/>
        <v>33559</v>
      </c>
      <c r="AL13" s="54">
        <f>SUM(AF13:AK13)</f>
        <v>4968496</v>
      </c>
    </row>
    <row r="14" spans="1:46" ht="27" customHeight="1">
      <c r="A14" s="14" t="s">
        <v>12</v>
      </c>
      <c r="B14" s="15" t="s">
        <v>39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10083</v>
      </c>
      <c r="P14" s="22">
        <v>10083</v>
      </c>
      <c r="Q14" s="21">
        <v>0</v>
      </c>
      <c r="R14" s="21">
        <v>8880</v>
      </c>
      <c r="S14" s="21">
        <v>328593</v>
      </c>
      <c r="T14" s="21">
        <v>0</v>
      </c>
      <c r="U14" s="21">
        <v>0</v>
      </c>
      <c r="V14" s="22">
        <v>337473</v>
      </c>
      <c r="W14" s="22">
        <v>347556</v>
      </c>
      <c r="X14" s="21">
        <v>0</v>
      </c>
      <c r="Y14" s="22">
        <v>337473</v>
      </c>
      <c r="Z14" s="22">
        <v>347556</v>
      </c>
      <c r="AA14" s="21">
        <v>0</v>
      </c>
      <c r="AB14" s="22">
        <v>337473</v>
      </c>
      <c r="AC14" s="22">
        <v>347556</v>
      </c>
      <c r="AE14" s="56" t="s">
        <v>98</v>
      </c>
      <c r="AF14" s="50">
        <f>AF10+AF13</f>
        <v>235937</v>
      </c>
      <c r="AG14" s="50">
        <f t="shared" ref="AG14:AL14" si="4">AG10+AG13</f>
        <v>4332457</v>
      </c>
      <c r="AH14" s="50">
        <f t="shared" si="4"/>
        <v>269407</v>
      </c>
      <c r="AI14" s="50">
        <f t="shared" si="4"/>
        <v>351498</v>
      </c>
      <c r="AJ14" s="50">
        <f t="shared" si="4"/>
        <v>4851987</v>
      </c>
      <c r="AK14" s="50">
        <f t="shared" si="4"/>
        <v>49684</v>
      </c>
      <c r="AL14" s="54">
        <f t="shared" si="4"/>
        <v>10090970</v>
      </c>
    </row>
    <row r="15" spans="1:46" ht="27" customHeight="1">
      <c r="A15" s="14" t="s">
        <v>13</v>
      </c>
      <c r="B15" s="15" t="s">
        <v>40</v>
      </c>
      <c r="C15" s="21">
        <v>5579</v>
      </c>
      <c r="D15" s="21">
        <v>196</v>
      </c>
      <c r="E15" s="21">
        <v>104772</v>
      </c>
      <c r="F15" s="21">
        <v>54252</v>
      </c>
      <c r="G15" s="21">
        <v>20401</v>
      </c>
      <c r="H15" s="21">
        <v>77749</v>
      </c>
      <c r="I15" s="21">
        <v>33071</v>
      </c>
      <c r="J15" s="21">
        <v>15202</v>
      </c>
      <c r="K15" s="21">
        <v>75624</v>
      </c>
      <c r="L15" s="21">
        <v>67522</v>
      </c>
      <c r="M15" s="21">
        <v>55379</v>
      </c>
      <c r="N15" s="21">
        <v>216755</v>
      </c>
      <c r="O15" s="21">
        <v>2192</v>
      </c>
      <c r="P15" s="22">
        <v>728694</v>
      </c>
      <c r="Q15" s="21">
        <v>102539</v>
      </c>
      <c r="R15" s="21">
        <v>727633</v>
      </c>
      <c r="S15" s="21">
        <v>842866</v>
      </c>
      <c r="T15" s="21">
        <v>126362</v>
      </c>
      <c r="U15" s="21">
        <v>0</v>
      </c>
      <c r="V15" s="22">
        <v>1799400</v>
      </c>
      <c r="W15" s="22">
        <v>2528094</v>
      </c>
      <c r="X15" s="21">
        <v>290740</v>
      </c>
      <c r="Y15" s="22">
        <v>2090140</v>
      </c>
      <c r="Z15" s="22">
        <v>2818834</v>
      </c>
      <c r="AA15" s="21">
        <v>-616035</v>
      </c>
      <c r="AB15" s="22">
        <v>1474105</v>
      </c>
      <c r="AC15" s="22">
        <v>2202799</v>
      </c>
    </row>
    <row r="16" spans="1:46" ht="27" customHeight="1">
      <c r="A16" s="14" t="s">
        <v>14</v>
      </c>
      <c r="B16" s="15" t="s">
        <v>41</v>
      </c>
      <c r="C16" s="21">
        <v>2176</v>
      </c>
      <c r="D16" s="21">
        <v>54</v>
      </c>
      <c r="E16" s="21">
        <v>14483</v>
      </c>
      <c r="F16" s="21">
        <v>9722</v>
      </c>
      <c r="G16" s="21">
        <v>777</v>
      </c>
      <c r="H16" s="21">
        <v>6968</v>
      </c>
      <c r="I16" s="21">
        <v>747</v>
      </c>
      <c r="J16" s="21">
        <v>1551</v>
      </c>
      <c r="K16" s="21">
        <v>9224</v>
      </c>
      <c r="L16" s="21">
        <v>4896</v>
      </c>
      <c r="M16" s="21">
        <v>166</v>
      </c>
      <c r="N16" s="21">
        <v>21057</v>
      </c>
      <c r="O16" s="21">
        <v>0</v>
      </c>
      <c r="P16" s="22">
        <v>71821</v>
      </c>
      <c r="Q16" s="21">
        <v>0</v>
      </c>
      <c r="R16" s="21">
        <v>129</v>
      </c>
      <c r="S16" s="21">
        <v>0</v>
      </c>
      <c r="T16" s="21">
        <v>0</v>
      </c>
      <c r="U16" s="21">
        <v>0</v>
      </c>
      <c r="V16" s="22">
        <v>129</v>
      </c>
      <c r="W16" s="22">
        <v>71950</v>
      </c>
      <c r="X16" s="21">
        <v>53</v>
      </c>
      <c r="Y16" s="22">
        <v>182</v>
      </c>
      <c r="Z16" s="22">
        <v>72003</v>
      </c>
      <c r="AA16" s="21">
        <v>-22319</v>
      </c>
      <c r="AB16" s="22">
        <v>-22137</v>
      </c>
      <c r="AC16" s="22">
        <v>49684</v>
      </c>
    </row>
    <row r="17" spans="1:39" ht="27" customHeight="1">
      <c r="A17" s="17" t="s">
        <v>15</v>
      </c>
      <c r="B17" s="18" t="s">
        <v>42</v>
      </c>
      <c r="C17" s="23">
        <v>126522</v>
      </c>
      <c r="D17" s="23">
        <v>2888</v>
      </c>
      <c r="E17" s="23">
        <v>2624757</v>
      </c>
      <c r="F17" s="23">
        <v>285740</v>
      </c>
      <c r="G17" s="23">
        <v>169977</v>
      </c>
      <c r="H17" s="23">
        <v>250726</v>
      </c>
      <c r="I17" s="23">
        <v>93511</v>
      </c>
      <c r="J17" s="23">
        <v>114100</v>
      </c>
      <c r="K17" s="23">
        <v>296488</v>
      </c>
      <c r="L17" s="23">
        <v>196785</v>
      </c>
      <c r="M17" s="23">
        <v>104098</v>
      </c>
      <c r="N17" s="23">
        <v>840757</v>
      </c>
      <c r="O17" s="23">
        <v>16125</v>
      </c>
      <c r="P17" s="24">
        <v>5122474</v>
      </c>
      <c r="Q17" s="23">
        <v>139286</v>
      </c>
      <c r="R17" s="23">
        <v>3009792</v>
      </c>
      <c r="S17" s="23">
        <v>1172440</v>
      </c>
      <c r="T17" s="23">
        <v>1211099</v>
      </c>
      <c r="U17" s="23">
        <v>14599</v>
      </c>
      <c r="V17" s="24">
        <v>5547216</v>
      </c>
      <c r="W17" s="24">
        <v>10669690</v>
      </c>
      <c r="X17" s="23">
        <v>4075371</v>
      </c>
      <c r="Y17" s="24">
        <v>9622587</v>
      </c>
      <c r="Z17" s="24">
        <v>14745061</v>
      </c>
      <c r="AA17" s="23">
        <v>-4654091</v>
      </c>
      <c r="AB17" s="24">
        <v>4968496</v>
      </c>
      <c r="AC17" s="24">
        <v>10090970</v>
      </c>
      <c r="AE17" s="57"/>
      <c r="AF17" s="48" t="s">
        <v>84</v>
      </c>
      <c r="AG17" s="48" t="s">
        <v>85</v>
      </c>
      <c r="AH17" s="48" t="s">
        <v>87</v>
      </c>
      <c r="AI17" s="48" t="s">
        <v>90</v>
      </c>
      <c r="AJ17" s="48" t="s">
        <v>102</v>
      </c>
      <c r="AK17" s="2" t="s">
        <v>92</v>
      </c>
      <c r="AL17" s="48" t="s">
        <v>99</v>
      </c>
    </row>
    <row r="18" spans="1:39" ht="27" customHeight="1">
      <c r="A18" s="14" t="s">
        <v>16</v>
      </c>
      <c r="B18" s="16" t="s">
        <v>57</v>
      </c>
      <c r="C18" s="21">
        <v>1861</v>
      </c>
      <c r="D18" s="21">
        <v>233</v>
      </c>
      <c r="E18" s="21">
        <v>48800</v>
      </c>
      <c r="F18" s="21">
        <v>10171</v>
      </c>
      <c r="G18" s="21">
        <v>2804</v>
      </c>
      <c r="H18" s="21">
        <v>17302</v>
      </c>
      <c r="I18" s="21">
        <v>9162</v>
      </c>
      <c r="J18" s="21">
        <v>1963</v>
      </c>
      <c r="K18" s="21">
        <v>8205</v>
      </c>
      <c r="L18" s="21">
        <v>4386</v>
      </c>
      <c r="M18" s="21">
        <v>3115</v>
      </c>
      <c r="N18" s="21">
        <v>31084</v>
      </c>
      <c r="O18" s="21">
        <v>200</v>
      </c>
      <c r="P18" s="22">
        <v>139286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E18" s="55" t="s">
        <v>84</v>
      </c>
      <c r="AF18" s="47">
        <f>AF4</f>
        <v>20000</v>
      </c>
      <c r="AG18" s="47">
        <f>AG4</f>
        <v>83372</v>
      </c>
      <c r="AH18" s="47">
        <f t="shared" ref="AH18:AK18" si="5">AH4</f>
        <v>0</v>
      </c>
      <c r="AI18" s="47">
        <f t="shared" si="5"/>
        <v>0</v>
      </c>
      <c r="AJ18" s="47">
        <f t="shared" si="5"/>
        <v>14896</v>
      </c>
      <c r="AK18" s="58">
        <f t="shared" si="5"/>
        <v>0</v>
      </c>
      <c r="AL18" s="47">
        <f>AM4</f>
        <v>41658</v>
      </c>
      <c r="AM18" s="47"/>
    </row>
    <row r="19" spans="1:39" ht="27" customHeight="1">
      <c r="A19" s="14" t="s">
        <v>58</v>
      </c>
      <c r="B19" s="15" t="s">
        <v>59</v>
      </c>
      <c r="C19" s="21">
        <v>26284</v>
      </c>
      <c r="D19" s="21">
        <v>1209</v>
      </c>
      <c r="E19" s="21">
        <v>439735</v>
      </c>
      <c r="F19" s="21">
        <v>182771</v>
      </c>
      <c r="G19" s="21">
        <v>21944</v>
      </c>
      <c r="H19" s="21">
        <v>299893</v>
      </c>
      <c r="I19" s="21">
        <v>92667</v>
      </c>
      <c r="J19" s="21">
        <v>28793</v>
      </c>
      <c r="K19" s="21">
        <v>142155</v>
      </c>
      <c r="L19" s="21">
        <v>50469</v>
      </c>
      <c r="M19" s="21">
        <v>124321</v>
      </c>
      <c r="N19" s="21">
        <v>924067</v>
      </c>
      <c r="O19" s="21">
        <v>611</v>
      </c>
      <c r="P19" s="22">
        <v>2334919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E19" s="55" t="s">
        <v>85</v>
      </c>
      <c r="AF19" s="47">
        <f t="shared" ref="AF19:AK19" si="6">AF5</f>
        <v>59469</v>
      </c>
      <c r="AG19" s="47">
        <f t="shared" si="6"/>
        <v>2108068</v>
      </c>
      <c r="AH19" s="47">
        <f t="shared" si="6"/>
        <v>103599</v>
      </c>
      <c r="AI19" s="47">
        <f t="shared" si="6"/>
        <v>14970</v>
      </c>
      <c r="AJ19" s="47">
        <f t="shared" si="6"/>
        <v>427524</v>
      </c>
      <c r="AK19" s="47">
        <f t="shared" si="6"/>
        <v>601</v>
      </c>
      <c r="AL19" s="47">
        <f t="shared" ref="AL19:AL22" si="7">AM5</f>
        <v>610286</v>
      </c>
      <c r="AM19" s="47"/>
    </row>
    <row r="20" spans="1:39" ht="27" customHeight="1">
      <c r="A20" s="14" t="s">
        <v>60</v>
      </c>
      <c r="B20" s="15" t="s">
        <v>61</v>
      </c>
      <c r="C20" s="21">
        <v>48901</v>
      </c>
      <c r="D20" s="21">
        <v>316</v>
      </c>
      <c r="E20" s="21">
        <v>232681</v>
      </c>
      <c r="F20" s="21">
        <v>13066</v>
      </c>
      <c r="G20" s="21">
        <v>13412</v>
      </c>
      <c r="H20" s="21">
        <v>112051</v>
      </c>
      <c r="I20" s="21">
        <v>88130</v>
      </c>
      <c r="J20" s="21">
        <v>272066</v>
      </c>
      <c r="K20" s="21">
        <v>26757</v>
      </c>
      <c r="L20" s="21">
        <v>50985</v>
      </c>
      <c r="M20" s="21">
        <v>0</v>
      </c>
      <c r="N20" s="21">
        <v>149088</v>
      </c>
      <c r="O20" s="21">
        <v>29782</v>
      </c>
      <c r="P20" s="22">
        <v>1037235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E20" s="55" t="s">
        <v>87</v>
      </c>
      <c r="AF20" s="47">
        <f t="shared" ref="AF20:AK20" si="8">AF6</f>
        <v>2685</v>
      </c>
      <c r="AG20" s="47">
        <f t="shared" si="8"/>
        <v>125165</v>
      </c>
      <c r="AH20" s="47">
        <f t="shared" si="8"/>
        <v>13264</v>
      </c>
      <c r="AI20" s="47">
        <f t="shared" si="8"/>
        <v>3720</v>
      </c>
      <c r="AJ20" s="47">
        <f t="shared" si="8"/>
        <v>92586</v>
      </c>
      <c r="AK20" s="47">
        <f t="shared" si="8"/>
        <v>32</v>
      </c>
      <c r="AL20" s="47">
        <f t="shared" si="7"/>
        <v>83130</v>
      </c>
      <c r="AM20" s="47"/>
    </row>
    <row r="21" spans="1:39" ht="27" customHeight="1">
      <c r="A21" s="14" t="s">
        <v>62</v>
      </c>
      <c r="B21" s="15" t="s">
        <v>63</v>
      </c>
      <c r="C21" s="21">
        <v>27671</v>
      </c>
      <c r="D21" s="21">
        <v>378</v>
      </c>
      <c r="E21" s="21">
        <v>277331</v>
      </c>
      <c r="F21" s="21">
        <v>21624</v>
      </c>
      <c r="G21" s="21">
        <v>55120</v>
      </c>
      <c r="H21" s="21">
        <v>67650</v>
      </c>
      <c r="I21" s="21">
        <v>22177</v>
      </c>
      <c r="J21" s="21">
        <v>226023</v>
      </c>
      <c r="K21" s="21">
        <v>46861</v>
      </c>
      <c r="L21" s="21">
        <v>37479</v>
      </c>
      <c r="M21" s="21">
        <v>115727</v>
      </c>
      <c r="N21" s="21">
        <v>215214</v>
      </c>
      <c r="O21" s="21">
        <v>2366</v>
      </c>
      <c r="P21" s="22">
        <v>1115621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E21" s="55" t="s">
        <v>90</v>
      </c>
      <c r="AF21" s="47">
        <f t="shared" ref="AF21:AK22" si="9">AF7</f>
        <v>1227</v>
      </c>
      <c r="AG21" s="47">
        <f t="shared" si="9"/>
        <v>23172</v>
      </c>
      <c r="AH21" s="47">
        <f t="shared" si="9"/>
        <v>3575</v>
      </c>
      <c r="AI21" s="47">
        <f t="shared" si="9"/>
        <v>81066</v>
      </c>
      <c r="AJ21" s="47">
        <f t="shared" si="9"/>
        <v>110695</v>
      </c>
      <c r="AK21" s="47">
        <f t="shared" si="9"/>
        <v>920</v>
      </c>
      <c r="AL21" s="47">
        <f t="shared" si="7"/>
        <v>159904</v>
      </c>
      <c r="AM21" s="47"/>
    </row>
    <row r="22" spans="1:39" ht="27" customHeight="1">
      <c r="A22" s="14" t="s">
        <v>64</v>
      </c>
      <c r="B22" s="16" t="s">
        <v>65</v>
      </c>
      <c r="C22" s="21">
        <v>8226</v>
      </c>
      <c r="D22" s="21">
        <v>242</v>
      </c>
      <c r="E22" s="21">
        <v>176288</v>
      </c>
      <c r="F22" s="21">
        <v>18906</v>
      </c>
      <c r="G22" s="21">
        <v>8636</v>
      </c>
      <c r="H22" s="21">
        <v>31297</v>
      </c>
      <c r="I22" s="21">
        <v>6398</v>
      </c>
      <c r="J22" s="21">
        <v>31337</v>
      </c>
      <c r="K22" s="21">
        <v>22315</v>
      </c>
      <c r="L22" s="21">
        <v>11397</v>
      </c>
      <c r="M22" s="21">
        <v>295</v>
      </c>
      <c r="N22" s="21">
        <v>54010</v>
      </c>
      <c r="O22" s="21">
        <v>844</v>
      </c>
      <c r="P22" s="22">
        <v>370191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E22" s="55" t="s">
        <v>102</v>
      </c>
      <c r="AF22" s="47">
        <f>AF8</f>
        <v>40965</v>
      </c>
      <c r="AG22" s="47">
        <f>AG8</f>
        <v>549349</v>
      </c>
      <c r="AH22" s="47">
        <f t="shared" si="9"/>
        <v>48762</v>
      </c>
      <c r="AI22" s="47">
        <f t="shared" si="9"/>
        <v>92133</v>
      </c>
      <c r="AJ22" s="47">
        <f t="shared" si="9"/>
        <v>1014266</v>
      </c>
      <c r="AK22" s="47">
        <f>AK8</f>
        <v>14572</v>
      </c>
      <c r="AL22" s="47">
        <f t="shared" si="7"/>
        <v>2114685</v>
      </c>
      <c r="AM22" s="47"/>
    </row>
    <row r="23" spans="1:39" ht="27" customHeight="1">
      <c r="A23" s="14" t="s">
        <v>66</v>
      </c>
      <c r="B23" s="16" t="s">
        <v>67</v>
      </c>
      <c r="C23" s="21">
        <v>-3528</v>
      </c>
      <c r="D23" s="21">
        <v>0</v>
      </c>
      <c r="E23" s="21">
        <v>-2425</v>
      </c>
      <c r="F23" s="21">
        <v>-2254</v>
      </c>
      <c r="G23" s="21">
        <v>-2486</v>
      </c>
      <c r="H23" s="21">
        <v>-366</v>
      </c>
      <c r="I23" s="21">
        <v>-4781</v>
      </c>
      <c r="J23" s="21">
        <v>-147</v>
      </c>
      <c r="K23" s="21">
        <v>-1101</v>
      </c>
      <c r="L23" s="21">
        <v>-3</v>
      </c>
      <c r="M23" s="21">
        <v>0</v>
      </c>
      <c r="N23" s="21">
        <v>-11421</v>
      </c>
      <c r="O23" s="21">
        <v>-244</v>
      </c>
      <c r="P23" s="22">
        <v>-28756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E23" s="55" t="s">
        <v>92</v>
      </c>
      <c r="AF23" s="47">
        <f>SUM(AF9,AF12)</f>
        <v>85307</v>
      </c>
      <c r="AG23" s="47">
        <f t="shared" ref="AG23:AJ23" si="10">SUM(AG9,AG12)</f>
        <v>819616</v>
      </c>
      <c r="AH23" s="47">
        <f t="shared" si="10"/>
        <v>78263</v>
      </c>
      <c r="AI23" s="47">
        <f t="shared" si="10"/>
        <v>109140</v>
      </c>
      <c r="AJ23" s="47">
        <f t="shared" si="10"/>
        <v>1580124</v>
      </c>
      <c r="AK23" s="47">
        <f>AK9+AK12</f>
        <v>32948</v>
      </c>
      <c r="AL23" s="47">
        <f>AM9</f>
        <v>129</v>
      </c>
      <c r="AM23" s="47"/>
    </row>
    <row r="24" spans="1:39" ht="27" customHeight="1">
      <c r="A24" s="17" t="s">
        <v>68</v>
      </c>
      <c r="B24" s="27" t="s">
        <v>69</v>
      </c>
      <c r="C24" s="23">
        <v>109415</v>
      </c>
      <c r="D24" s="23">
        <v>2378</v>
      </c>
      <c r="E24" s="23">
        <v>1172410</v>
      </c>
      <c r="F24" s="23">
        <v>244284</v>
      </c>
      <c r="G24" s="23">
        <v>99430</v>
      </c>
      <c r="H24" s="23">
        <v>527827</v>
      </c>
      <c r="I24" s="23">
        <v>213753</v>
      </c>
      <c r="J24" s="23">
        <v>560035</v>
      </c>
      <c r="K24" s="23">
        <v>245192</v>
      </c>
      <c r="L24" s="23">
        <v>154713</v>
      </c>
      <c r="M24" s="23">
        <v>243458</v>
      </c>
      <c r="N24" s="23">
        <v>1362042</v>
      </c>
      <c r="O24" s="23">
        <v>33559</v>
      </c>
      <c r="P24" s="24">
        <v>4968496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E24" s="57" t="s">
        <v>95</v>
      </c>
      <c r="AF24" s="49">
        <f>AF11</f>
        <v>26284</v>
      </c>
      <c r="AG24" s="49">
        <f t="shared" ref="AG24:AJ24" si="11">AG11</f>
        <v>623715</v>
      </c>
      <c r="AH24" s="49">
        <f t="shared" si="11"/>
        <v>21944</v>
      </c>
      <c r="AI24" s="49">
        <f t="shared" si="11"/>
        <v>50469</v>
      </c>
      <c r="AJ24" s="49">
        <f t="shared" si="11"/>
        <v>1611896</v>
      </c>
      <c r="AK24" s="49">
        <f>AK11</f>
        <v>611</v>
      </c>
      <c r="AL24" s="48"/>
      <c r="AM24" s="47"/>
    </row>
    <row r="25" spans="1:39" ht="27" customHeight="1">
      <c r="A25" s="19" t="s">
        <v>70</v>
      </c>
      <c r="B25" s="20" t="s">
        <v>71</v>
      </c>
      <c r="C25" s="25">
        <v>235937</v>
      </c>
      <c r="D25" s="25">
        <v>5266</v>
      </c>
      <c r="E25" s="25">
        <v>3797167</v>
      </c>
      <c r="F25" s="25">
        <v>530024</v>
      </c>
      <c r="G25" s="25">
        <v>269407</v>
      </c>
      <c r="H25" s="25">
        <v>778553</v>
      </c>
      <c r="I25" s="25">
        <v>307264</v>
      </c>
      <c r="J25" s="25">
        <v>674135</v>
      </c>
      <c r="K25" s="25">
        <v>541680</v>
      </c>
      <c r="L25" s="25">
        <v>351498</v>
      </c>
      <c r="M25" s="25">
        <v>347556</v>
      </c>
      <c r="N25" s="25">
        <v>2202799</v>
      </c>
      <c r="O25" s="25">
        <v>49684</v>
      </c>
      <c r="P25" s="26">
        <v>10090970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E25" s="55" t="s">
        <v>100</v>
      </c>
      <c r="AF25" s="47">
        <f>SUM(AF18:AF24)</f>
        <v>235937</v>
      </c>
      <c r="AG25" s="47">
        <f t="shared" ref="AG25:AK25" si="12">SUM(AG18:AG24)</f>
        <v>4332457</v>
      </c>
      <c r="AH25" s="47">
        <f t="shared" si="12"/>
        <v>269407</v>
      </c>
      <c r="AI25" s="47">
        <f t="shared" si="12"/>
        <v>351498</v>
      </c>
      <c r="AJ25" s="47">
        <f t="shared" si="12"/>
        <v>4851987</v>
      </c>
      <c r="AK25" s="47">
        <f t="shared" si="12"/>
        <v>49684</v>
      </c>
      <c r="AM25" s="47"/>
    </row>
    <row r="26" spans="1:39">
      <c r="AK26" s="47"/>
    </row>
    <row r="27" spans="1:39">
      <c r="AK27" s="2" t="s">
        <v>103</v>
      </c>
    </row>
  </sheetData>
  <phoneticPr fontId="2"/>
  <pageMargins left="0.70866141732283472" right="0.43307086614173229" top="0.74803149606299213" bottom="0.43307086614173229" header="0.31496062992125984" footer="0.31496062992125984"/>
  <pageSetup paperSize="9" scale="47" orientation="landscape" r:id="rId1"/>
  <ignoredErrors>
    <ignoredError sqref="AT4:AT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6" sqref="E6"/>
    </sheetView>
  </sheetViews>
  <sheetFormatPr baseColWidth="10" defaultColWidth="9" defaultRowHeight="14"/>
  <cols>
    <col min="1" max="1" width="5" style="2" customWidth="1"/>
    <col min="2" max="2" width="14.33203125" style="2" customWidth="1"/>
    <col min="3" max="15" width="9" style="2"/>
    <col min="16" max="16" width="10" style="2" customWidth="1"/>
    <col min="17" max="16384" width="9" style="2"/>
  </cols>
  <sheetData>
    <row r="1" spans="1:16" ht="19">
      <c r="C1" s="3" t="s">
        <v>73</v>
      </c>
    </row>
    <row r="2" spans="1:16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/>
    </row>
    <row r="3" spans="1:16" ht="30">
      <c r="A3" s="8"/>
      <c r="B3" s="9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11" t="s">
        <v>72</v>
      </c>
    </row>
    <row r="4" spans="1:16" ht="27" customHeight="1">
      <c r="A4" s="14" t="s">
        <v>2</v>
      </c>
      <c r="B4" s="15" t="s">
        <v>29</v>
      </c>
      <c r="C4" s="28">
        <v>8.4768391562154308E-2</v>
      </c>
      <c r="D4" s="28">
        <v>0</v>
      </c>
      <c r="E4" s="28">
        <v>2.1811260868958359E-2</v>
      </c>
      <c r="F4" s="28">
        <v>1.0395755663894465E-3</v>
      </c>
      <c r="G4" s="28">
        <v>0</v>
      </c>
      <c r="H4" s="28">
        <v>1.4642548419953428E-4</v>
      </c>
      <c r="I4" s="28">
        <v>0</v>
      </c>
      <c r="J4" s="28">
        <v>0</v>
      </c>
      <c r="K4" s="28">
        <v>2.6583961010190517E-4</v>
      </c>
      <c r="L4" s="28">
        <v>0</v>
      </c>
      <c r="M4" s="28">
        <v>1.1508936689339273E-5</v>
      </c>
      <c r="N4" s="28">
        <v>6.6433660084283678E-3</v>
      </c>
      <c r="O4" s="28">
        <v>0</v>
      </c>
      <c r="P4" s="29">
        <v>1.1720181508814317E-2</v>
      </c>
    </row>
    <row r="5" spans="1:16" ht="27" customHeight="1">
      <c r="A5" s="14" t="s">
        <v>3</v>
      </c>
      <c r="B5" s="15" t="s">
        <v>30</v>
      </c>
      <c r="C5" s="28">
        <v>1.2715258734323145E-5</v>
      </c>
      <c r="D5" s="28">
        <v>3.7979491074819596E-4</v>
      </c>
      <c r="E5" s="28">
        <v>0.14839563284943749</v>
      </c>
      <c r="F5" s="28">
        <v>7.675124145321721E-3</v>
      </c>
      <c r="G5" s="28">
        <v>0.25453310418808717</v>
      </c>
      <c r="H5" s="28">
        <v>0</v>
      </c>
      <c r="I5" s="28">
        <v>0</v>
      </c>
      <c r="J5" s="28">
        <v>0</v>
      </c>
      <c r="K5" s="28">
        <v>1.8461084034854527E-6</v>
      </c>
      <c r="L5" s="28">
        <v>0</v>
      </c>
      <c r="M5" s="28">
        <v>2.8772341723348182E-6</v>
      </c>
      <c r="N5" s="28">
        <v>3.1777751851167537E-6</v>
      </c>
      <c r="O5" s="28">
        <v>4.0254407857660417E-5</v>
      </c>
      <c r="P5" s="29">
        <v>6.3040520386048127E-2</v>
      </c>
    </row>
    <row r="6" spans="1:16" ht="27" customHeight="1">
      <c r="A6" s="14" t="s">
        <v>4</v>
      </c>
      <c r="B6" s="15" t="s">
        <v>31</v>
      </c>
      <c r="C6" s="28">
        <v>0.25032953712219785</v>
      </c>
      <c r="D6" s="28">
        <v>6.3995442461071028E-2</v>
      </c>
      <c r="E6" s="28">
        <v>0.36582062363862322</v>
      </c>
      <c r="F6" s="28">
        <v>0.27663464295956408</v>
      </c>
      <c r="G6" s="28">
        <v>0.12055737230287261</v>
      </c>
      <c r="H6" s="28">
        <v>3.4318793967783826E-2</v>
      </c>
      <c r="I6" s="28">
        <v>2.7878306602791086E-2</v>
      </c>
      <c r="J6" s="28">
        <v>2.3437442055374664E-3</v>
      </c>
      <c r="K6" s="28">
        <v>0.14071961305567862</v>
      </c>
      <c r="L6" s="28">
        <v>3.9280451097872537E-2</v>
      </c>
      <c r="M6" s="28">
        <v>2.5172921773757323E-2</v>
      </c>
      <c r="N6" s="28">
        <v>0.13230984760752115</v>
      </c>
      <c r="O6" s="28">
        <v>1.2056195153369293E-2</v>
      </c>
      <c r="P6" s="29">
        <v>0.2036751670057487</v>
      </c>
    </row>
    <row r="7" spans="1:16" ht="27" customHeight="1">
      <c r="A7" s="14" t="s">
        <v>5</v>
      </c>
      <c r="B7" s="15" t="s">
        <v>32</v>
      </c>
      <c r="C7" s="28">
        <v>1.7123215095555169E-3</v>
      </c>
      <c r="D7" s="28">
        <v>1.329282187618686E-3</v>
      </c>
      <c r="E7" s="28">
        <v>1.1392704087020665E-3</v>
      </c>
      <c r="F7" s="28">
        <v>2.641389823857033E-4</v>
      </c>
      <c r="G7" s="28">
        <v>9.4540973322890642E-3</v>
      </c>
      <c r="H7" s="28">
        <v>2.5290506876217804E-3</v>
      </c>
      <c r="I7" s="28">
        <v>2.2879348052489063E-3</v>
      </c>
      <c r="J7" s="28">
        <v>6.2138889094914222E-3</v>
      </c>
      <c r="K7" s="28">
        <v>2.2577905774627087E-3</v>
      </c>
      <c r="L7" s="28">
        <v>3.3086959243011338E-3</v>
      </c>
      <c r="M7" s="28">
        <v>6.5111809319936933E-3</v>
      </c>
      <c r="N7" s="28">
        <v>1.7600334846710934E-3</v>
      </c>
      <c r="O7" s="28">
        <v>0</v>
      </c>
      <c r="P7" s="29">
        <v>2.2605359048733669E-3</v>
      </c>
    </row>
    <row r="8" spans="1:16" ht="27" customHeight="1">
      <c r="A8" s="14" t="s">
        <v>6</v>
      </c>
      <c r="B8" s="16" t="s">
        <v>33</v>
      </c>
      <c r="C8" s="28">
        <v>1.1380156567219215E-2</v>
      </c>
      <c r="D8" s="28">
        <v>3.4941131788834033E-2</v>
      </c>
      <c r="E8" s="28">
        <v>3.24541954567708E-2</v>
      </c>
      <c r="F8" s="28">
        <v>3.296077158770169E-3</v>
      </c>
      <c r="G8" s="28">
        <v>4.9234058506274894E-2</v>
      </c>
      <c r="H8" s="28">
        <v>3.0080161530428886E-2</v>
      </c>
      <c r="I8" s="28">
        <v>9.9425900853988749E-3</v>
      </c>
      <c r="J8" s="28">
        <v>5.3416600532534284E-3</v>
      </c>
      <c r="K8" s="28">
        <v>1.4288879042977404E-2</v>
      </c>
      <c r="L8" s="28">
        <v>1.0583275011522114E-2</v>
      </c>
      <c r="M8" s="28">
        <v>1.2421019921969409E-2</v>
      </c>
      <c r="N8" s="28">
        <v>2.290449559855438E-2</v>
      </c>
      <c r="O8" s="28">
        <v>6.4407052572256667E-4</v>
      </c>
      <c r="P8" s="29">
        <v>2.3531137244486904E-2</v>
      </c>
    </row>
    <row r="9" spans="1:16" ht="27" customHeight="1">
      <c r="A9" s="14" t="s">
        <v>7</v>
      </c>
      <c r="B9" s="15" t="s">
        <v>34</v>
      </c>
      <c r="C9" s="28">
        <v>7.0573924395071569E-2</v>
      </c>
      <c r="D9" s="28">
        <v>1.9559437903532092E-2</v>
      </c>
      <c r="E9" s="28">
        <v>4.098239555963696E-2</v>
      </c>
      <c r="F9" s="28">
        <v>5.2591958100010563E-2</v>
      </c>
      <c r="G9" s="28">
        <v>2.4242131793160534E-2</v>
      </c>
      <c r="H9" s="28">
        <v>1.0352538619721458E-2</v>
      </c>
      <c r="I9" s="28">
        <v>6.1966257029785459E-3</v>
      </c>
      <c r="J9" s="28">
        <v>1.3038931371312868E-3</v>
      </c>
      <c r="K9" s="28">
        <v>4.4439521488701818E-2</v>
      </c>
      <c r="L9" s="28">
        <v>9.098202550227882E-3</v>
      </c>
      <c r="M9" s="28">
        <v>7.5728803415852407E-3</v>
      </c>
      <c r="N9" s="28">
        <v>4.3446088363032667E-2</v>
      </c>
      <c r="O9" s="28">
        <v>2.0127203928830208E-3</v>
      </c>
      <c r="P9" s="29">
        <v>3.4022992834187395E-2</v>
      </c>
    </row>
    <row r="10" spans="1:16" ht="27" customHeight="1">
      <c r="A10" s="14" t="s">
        <v>8</v>
      </c>
      <c r="B10" s="15" t="s">
        <v>35</v>
      </c>
      <c r="C10" s="28">
        <v>8.1716729465916745E-3</v>
      </c>
      <c r="D10" s="28">
        <v>4.3866312191416637E-2</v>
      </c>
      <c r="E10" s="28">
        <v>6.9912648034705874E-3</v>
      </c>
      <c r="F10" s="28">
        <v>1.3663532217409022E-2</v>
      </c>
      <c r="G10" s="28">
        <v>4.1079110787767208E-2</v>
      </c>
      <c r="H10" s="28">
        <v>1.6765717940846674E-2</v>
      </c>
      <c r="I10" s="28">
        <v>3.2922828577379715E-2</v>
      </c>
      <c r="J10" s="28">
        <v>8.4681851557922377E-2</v>
      </c>
      <c r="K10" s="28">
        <v>2.1907768424161866E-2</v>
      </c>
      <c r="L10" s="28">
        <v>6.8762837910884269E-3</v>
      </c>
      <c r="M10" s="28">
        <v>2.6671960777543764E-2</v>
      </c>
      <c r="N10" s="28">
        <v>5.7327064339506234E-3</v>
      </c>
      <c r="O10" s="28">
        <v>8.0508815715320833E-5</v>
      </c>
      <c r="P10" s="29">
        <v>1.6198343667655338E-2</v>
      </c>
    </row>
    <row r="11" spans="1:16" ht="27" customHeight="1">
      <c r="A11" s="14" t="s">
        <v>9</v>
      </c>
      <c r="B11" s="15" t="s">
        <v>36</v>
      </c>
      <c r="C11" s="28">
        <v>1.8352356773206407E-3</v>
      </c>
      <c r="D11" s="28">
        <v>5.1272312951006456E-3</v>
      </c>
      <c r="E11" s="28">
        <v>1.5774918511616686E-3</v>
      </c>
      <c r="F11" s="28">
        <v>4.0130258252456495E-3</v>
      </c>
      <c r="G11" s="28">
        <v>3.9679741060922695E-3</v>
      </c>
      <c r="H11" s="28">
        <v>2.4058734601241021E-2</v>
      </c>
      <c r="I11" s="28">
        <v>1.3802463028535722E-2</v>
      </c>
      <c r="J11" s="28">
        <v>3.7514741112685143E-2</v>
      </c>
      <c r="K11" s="28">
        <v>2.5345222271451778E-2</v>
      </c>
      <c r="L11" s="28">
        <v>2.005132319387308E-2</v>
      </c>
      <c r="M11" s="28">
        <v>8.8618812507912392E-4</v>
      </c>
      <c r="N11" s="28">
        <v>1.1567555641708572E-2</v>
      </c>
      <c r="O11" s="28">
        <v>2.837935753965059E-3</v>
      </c>
      <c r="P11" s="29">
        <v>1.0367189675521778E-2</v>
      </c>
    </row>
    <row r="12" spans="1:16" ht="27" customHeight="1">
      <c r="A12" s="14" t="s">
        <v>10</v>
      </c>
      <c r="B12" s="15" t="s">
        <v>37</v>
      </c>
      <c r="C12" s="28">
        <v>6.9399882171935726E-2</v>
      </c>
      <c r="D12" s="28">
        <v>0.32852259779718951</v>
      </c>
      <c r="E12" s="28">
        <v>3.5922570695468489E-2</v>
      </c>
      <c r="F12" s="28">
        <v>4.9499645299080797E-2</v>
      </c>
      <c r="G12" s="28">
        <v>3.5982732445704824E-2</v>
      </c>
      <c r="H12" s="28">
        <v>5.5312868873410033E-2</v>
      </c>
      <c r="I12" s="28">
        <v>5.8099875026036245E-2</v>
      </c>
      <c r="J12" s="28">
        <v>3.4711148360491591E-3</v>
      </c>
      <c r="K12" s="28">
        <v>0.12998449268941073</v>
      </c>
      <c r="L12" s="28">
        <v>3.3991658558512425E-2</v>
      </c>
      <c r="M12" s="28">
        <v>4.0128785001553709E-2</v>
      </c>
      <c r="N12" s="28">
        <v>2.6249330964831563E-2</v>
      </c>
      <c r="O12" s="28">
        <v>4.1301022461959581E-2</v>
      </c>
      <c r="P12" s="29">
        <v>4.0617799874541297E-2</v>
      </c>
    </row>
    <row r="13" spans="1:16" ht="27" customHeight="1">
      <c r="A13" s="14" t="s">
        <v>11</v>
      </c>
      <c r="B13" s="15" t="s">
        <v>38</v>
      </c>
      <c r="C13" s="28">
        <v>5.2005408223381663E-3</v>
      </c>
      <c r="D13" s="28">
        <v>3.2282567413596656E-3</v>
      </c>
      <c r="E13" s="28">
        <v>4.7398494719879322E-3</v>
      </c>
      <c r="F13" s="28">
        <v>9.7297480868790854E-3</v>
      </c>
      <c r="G13" s="28">
        <v>1.3269885340766945E-2</v>
      </c>
      <c r="H13" s="28">
        <v>3.9663324141066825E-2</v>
      </c>
      <c r="I13" s="28">
        <v>4.3142053738804413E-2</v>
      </c>
      <c r="J13" s="28">
        <v>3.5319335148004481E-3</v>
      </c>
      <c r="K13" s="28">
        <v>1.1499409245310885E-2</v>
      </c>
      <c r="L13" s="28">
        <v>0.23063004625915368</v>
      </c>
      <c r="M13" s="28">
        <v>2.0319027725028485E-2</v>
      </c>
      <c r="N13" s="28">
        <v>2.3101063692148035E-2</v>
      </c>
      <c r="O13" s="28">
        <v>1.8517027614523791E-2</v>
      </c>
      <c r="P13" s="29">
        <v>2.1866579724248512E-2</v>
      </c>
    </row>
    <row r="14" spans="1:16" ht="27" customHeight="1">
      <c r="A14" s="14" t="s">
        <v>12</v>
      </c>
      <c r="B14" s="15" t="s">
        <v>39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0.20294259721439498</v>
      </c>
      <c r="P14" s="29">
        <v>9.9921018494753227E-4</v>
      </c>
    </row>
    <row r="15" spans="1:16" ht="27" customHeight="1">
      <c r="A15" s="14" t="s">
        <v>13</v>
      </c>
      <c r="B15" s="15" t="s">
        <v>40</v>
      </c>
      <c r="C15" s="28">
        <v>2.3646142826262942E-2</v>
      </c>
      <c r="D15" s="28">
        <v>3.7219901253323202E-2</v>
      </c>
      <c r="E15" s="28">
        <v>2.7592149621020093E-2</v>
      </c>
      <c r="F15" s="28">
        <v>0.10235762908849411</v>
      </c>
      <c r="G15" s="28">
        <v>7.5725575059296904E-2</v>
      </c>
      <c r="H15" s="28">
        <v>9.9863464658154294E-2</v>
      </c>
      <c r="I15" s="28">
        <v>0.1076305717558842</v>
      </c>
      <c r="J15" s="28">
        <v>2.2550379375050993E-2</v>
      </c>
      <c r="K15" s="28">
        <v>0.13961010190518386</v>
      </c>
      <c r="L15" s="28">
        <v>0.19209782132473016</v>
      </c>
      <c r="M15" s="28">
        <v>0.15933835122972989</v>
      </c>
      <c r="N15" s="28">
        <v>9.8399808607140274E-2</v>
      </c>
      <c r="O15" s="28">
        <v>4.4118831011995811E-2</v>
      </c>
      <c r="P15" s="29">
        <v>7.2212483041769027E-2</v>
      </c>
    </row>
    <row r="16" spans="1:16" ht="27" customHeight="1">
      <c r="A16" s="14" t="s">
        <v>14</v>
      </c>
      <c r="B16" s="15" t="s">
        <v>41</v>
      </c>
      <c r="C16" s="28">
        <v>9.2228010019623878E-3</v>
      </c>
      <c r="D16" s="28">
        <v>1.0254462590201291E-2</v>
      </c>
      <c r="E16" s="28">
        <v>3.814159345638472E-3</v>
      </c>
      <c r="F16" s="28">
        <v>1.8342565619670053E-2</v>
      </c>
      <c r="G16" s="28">
        <v>2.8841121425946616E-3</v>
      </c>
      <c r="H16" s="28">
        <v>8.94993661317855E-3</v>
      </c>
      <c r="I16" s="28">
        <v>2.4311341387210999E-3</v>
      </c>
      <c r="J16" s="28">
        <v>2.3007261156889939E-3</v>
      </c>
      <c r="K16" s="28">
        <v>1.7028503913749816E-2</v>
      </c>
      <c r="L16" s="28">
        <v>1.3928955499035556E-2</v>
      </c>
      <c r="M16" s="28">
        <v>4.7762087260757978E-4</v>
      </c>
      <c r="N16" s="28">
        <v>9.5592017247147828E-3</v>
      </c>
      <c r="O16" s="28">
        <v>0</v>
      </c>
      <c r="P16" s="29">
        <v>7.1173534357945765E-3</v>
      </c>
    </row>
    <row r="17" spans="1:16" ht="27" customHeight="1">
      <c r="A17" s="17" t="s">
        <v>15</v>
      </c>
      <c r="B17" s="18" t="s">
        <v>42</v>
      </c>
      <c r="C17" s="30">
        <v>0.53625332186134433</v>
      </c>
      <c r="D17" s="30">
        <v>0.54842385112039493</v>
      </c>
      <c r="E17" s="30">
        <v>0.69124086457087608</v>
      </c>
      <c r="F17" s="30">
        <v>0.53910766304922042</v>
      </c>
      <c r="G17" s="30">
        <v>0.63093015400490704</v>
      </c>
      <c r="H17" s="30">
        <v>0.32204101711765287</v>
      </c>
      <c r="I17" s="30">
        <v>0.30433438346177882</v>
      </c>
      <c r="J17" s="30">
        <v>0.16925393281761072</v>
      </c>
      <c r="K17" s="30">
        <v>0.54734898833259493</v>
      </c>
      <c r="L17" s="30">
        <v>0.55984671321031698</v>
      </c>
      <c r="M17" s="30">
        <v>0.29951432287170987</v>
      </c>
      <c r="N17" s="30">
        <v>0.38167667590188664</v>
      </c>
      <c r="O17" s="30">
        <v>0.3245511633523871</v>
      </c>
      <c r="P17" s="31">
        <v>0.50762949448863692</v>
      </c>
    </row>
    <row r="18" spans="1:16" ht="27" customHeight="1">
      <c r="A18" s="14" t="s">
        <v>16</v>
      </c>
      <c r="B18" s="16" t="s">
        <v>57</v>
      </c>
      <c r="C18" s="28">
        <v>7.8876988348584587E-3</v>
      </c>
      <c r="D18" s="28">
        <v>4.4246107102164832E-2</v>
      </c>
      <c r="E18" s="28">
        <v>1.2851686533671023E-2</v>
      </c>
      <c r="F18" s="28">
        <v>1.9189697070321345E-2</v>
      </c>
      <c r="G18" s="28">
        <v>1.0408044334408534E-2</v>
      </c>
      <c r="H18" s="28">
        <v>2.2223278312459138E-2</v>
      </c>
      <c r="I18" s="28">
        <v>2.9818006665278066E-2</v>
      </c>
      <c r="J18" s="28">
        <v>2.9118796680190169E-3</v>
      </c>
      <c r="K18" s="28">
        <v>1.514731945059814E-2</v>
      </c>
      <c r="L18" s="28">
        <v>1.2478022634552687E-2</v>
      </c>
      <c r="M18" s="28">
        <v>8.962584446822958E-3</v>
      </c>
      <c r="N18" s="28">
        <v>1.4111137693452739E-2</v>
      </c>
      <c r="O18" s="28">
        <v>4.0254407857660416E-3</v>
      </c>
      <c r="P18" s="29">
        <v>1.3803033801507684E-2</v>
      </c>
    </row>
    <row r="19" spans="1:16" ht="27" customHeight="1">
      <c r="A19" s="14" t="s">
        <v>58</v>
      </c>
      <c r="B19" s="15" t="s">
        <v>59</v>
      </c>
      <c r="C19" s="28">
        <v>0.11140262019098318</v>
      </c>
      <c r="D19" s="28">
        <v>0.22958602354728447</v>
      </c>
      <c r="E19" s="28">
        <v>0.11580607331729155</v>
      </c>
      <c r="F19" s="28">
        <v>0.34483532821155266</v>
      </c>
      <c r="G19" s="28">
        <v>8.1452968928053093E-2</v>
      </c>
      <c r="H19" s="28">
        <v>0.3851927871320257</v>
      </c>
      <c r="I19" s="28">
        <v>0.30158755988335761</v>
      </c>
      <c r="J19" s="28">
        <v>4.2711029689898906E-2</v>
      </c>
      <c r="K19" s="28">
        <v>0.26243354009747455</v>
      </c>
      <c r="L19" s="28">
        <v>0.14358260928938429</v>
      </c>
      <c r="M19" s="28">
        <v>0.35770062953883691</v>
      </c>
      <c r="N19" s="28">
        <v>0.41949674028361189</v>
      </c>
      <c r="O19" s="28">
        <v>1.2297721600515257E-2</v>
      </c>
      <c r="P19" s="29">
        <v>0.23138697270926384</v>
      </c>
    </row>
    <row r="20" spans="1:16" ht="27" customHeight="1">
      <c r="A20" s="14" t="s">
        <v>60</v>
      </c>
      <c r="B20" s="15" t="s">
        <v>61</v>
      </c>
      <c r="C20" s="28">
        <v>0.20726295578904538</v>
      </c>
      <c r="D20" s="28">
        <v>6.0007595898214965E-2</v>
      </c>
      <c r="E20" s="28">
        <v>6.1277526113547282E-2</v>
      </c>
      <c r="F20" s="28">
        <v>2.4651713884654279E-2</v>
      </c>
      <c r="G20" s="28">
        <v>4.9783413200102447E-2</v>
      </c>
      <c r="H20" s="28">
        <v>0.14392212219335099</v>
      </c>
      <c r="I20" s="28">
        <v>0.28682175588419079</v>
      </c>
      <c r="J20" s="28">
        <v>0.40357791836946605</v>
      </c>
      <c r="K20" s="28">
        <v>4.9396322552060258E-2</v>
      </c>
      <c r="L20" s="28">
        <v>0.14505061195227284</v>
      </c>
      <c r="M20" s="28">
        <v>0</v>
      </c>
      <c r="N20" s="28">
        <v>6.7681163828383795E-2</v>
      </c>
      <c r="O20" s="28">
        <v>0.59942838740842119</v>
      </c>
      <c r="P20" s="29">
        <v>0.10278843361936464</v>
      </c>
    </row>
    <row r="21" spans="1:16" ht="27" customHeight="1">
      <c r="A21" s="14" t="s">
        <v>62</v>
      </c>
      <c r="B21" s="15" t="s">
        <v>63</v>
      </c>
      <c r="C21" s="28">
        <v>0.11728130814581859</v>
      </c>
      <c r="D21" s="28">
        <v>7.1781238131409034E-2</v>
      </c>
      <c r="E21" s="28">
        <v>7.3036292583391782E-2</v>
      </c>
      <c r="F21" s="28">
        <v>4.0798152536488913E-2</v>
      </c>
      <c r="G21" s="28">
        <v>0.20459750489037032</v>
      </c>
      <c r="H21" s="28">
        <v>8.6891964965776253E-2</v>
      </c>
      <c r="I21" s="28">
        <v>7.2175718600291608E-2</v>
      </c>
      <c r="J21" s="28">
        <v>0.33527854213176889</v>
      </c>
      <c r="K21" s="28">
        <v>8.6510485895731792E-2</v>
      </c>
      <c r="L21" s="28">
        <v>0.10662649574108529</v>
      </c>
      <c r="M21" s="28">
        <v>0.33297367906179148</v>
      </c>
      <c r="N21" s="28">
        <v>9.7700244098531008E-2</v>
      </c>
      <c r="O21" s="28">
        <v>4.7620964495612268E-2</v>
      </c>
      <c r="P21" s="29">
        <v>0.11055636871381047</v>
      </c>
    </row>
    <row r="22" spans="1:16" ht="27" customHeight="1">
      <c r="A22" s="14" t="s">
        <v>64</v>
      </c>
      <c r="B22" s="16" t="s">
        <v>65</v>
      </c>
      <c r="C22" s="28">
        <v>3.4865239449514064E-2</v>
      </c>
      <c r="D22" s="28">
        <v>4.5955184200531712E-2</v>
      </c>
      <c r="E22" s="28">
        <v>4.6426190894422077E-2</v>
      </c>
      <c r="F22" s="28">
        <v>3.5670082864172191E-2</v>
      </c>
      <c r="G22" s="28">
        <v>3.2055588756045687E-2</v>
      </c>
      <c r="H22" s="28">
        <v>4.0198933149059861E-2</v>
      </c>
      <c r="I22" s="28">
        <v>2.0822484898979379E-2</v>
      </c>
      <c r="J22" s="28">
        <v>4.648475453729594E-2</v>
      </c>
      <c r="K22" s="28">
        <v>4.1195909023777878E-2</v>
      </c>
      <c r="L22" s="28">
        <v>3.2424082071590733E-2</v>
      </c>
      <c r="M22" s="28">
        <v>8.4878408083877133E-4</v>
      </c>
      <c r="N22" s="28">
        <v>2.4518805392593695E-2</v>
      </c>
      <c r="O22" s="28">
        <v>1.6987360115932694E-2</v>
      </c>
      <c r="P22" s="29">
        <v>3.6685373160360205E-2</v>
      </c>
    </row>
    <row r="23" spans="1:16" ht="27" customHeight="1">
      <c r="A23" s="14" t="s">
        <v>66</v>
      </c>
      <c r="B23" s="16" t="s">
        <v>67</v>
      </c>
      <c r="C23" s="28">
        <v>-1.4953144271564019E-2</v>
      </c>
      <c r="D23" s="28">
        <v>0</v>
      </c>
      <c r="E23" s="28">
        <v>-6.3863401319984086E-4</v>
      </c>
      <c r="F23" s="28">
        <v>-4.2526376164098226E-3</v>
      </c>
      <c r="G23" s="28">
        <v>-9.227674113887167E-3</v>
      </c>
      <c r="H23" s="28">
        <v>-4.7010287032482053E-4</v>
      </c>
      <c r="I23" s="28">
        <v>-1.5559909393876276E-2</v>
      </c>
      <c r="J23" s="28">
        <v>-2.1805721405949847E-4</v>
      </c>
      <c r="K23" s="28">
        <v>-2.0325653522374832E-3</v>
      </c>
      <c r="L23" s="28">
        <v>-8.5348992028404139E-6</v>
      </c>
      <c r="M23" s="28">
        <v>0</v>
      </c>
      <c r="N23" s="28">
        <v>-5.184767198459778E-3</v>
      </c>
      <c r="O23" s="28">
        <v>-4.9110377586345701E-3</v>
      </c>
      <c r="P23" s="29">
        <v>-2.8496764929436913E-3</v>
      </c>
    </row>
    <row r="24" spans="1:16" ht="27" customHeight="1">
      <c r="A24" s="17" t="s">
        <v>68</v>
      </c>
      <c r="B24" s="27" t="s">
        <v>69</v>
      </c>
      <c r="C24" s="30">
        <v>0.46374667813865567</v>
      </c>
      <c r="D24" s="30">
        <v>0.45157614887960501</v>
      </c>
      <c r="E24" s="30">
        <v>0.30875913542912387</v>
      </c>
      <c r="F24" s="30">
        <v>0.46089233695077958</v>
      </c>
      <c r="G24" s="30">
        <v>0.3690698459950929</v>
      </c>
      <c r="H24" s="30">
        <v>0.67795898288234713</v>
      </c>
      <c r="I24" s="30">
        <v>0.69566561653822123</v>
      </c>
      <c r="J24" s="30">
        <v>0.8307460671823893</v>
      </c>
      <c r="K24" s="30">
        <v>0.45265101166740512</v>
      </c>
      <c r="L24" s="30">
        <v>0.44015328678968302</v>
      </c>
      <c r="M24" s="30">
        <v>0.70048567712829013</v>
      </c>
      <c r="N24" s="30">
        <v>0.6183233240981133</v>
      </c>
      <c r="O24" s="30">
        <v>0.6754488366476129</v>
      </c>
      <c r="P24" s="31">
        <v>0.49237050551136313</v>
      </c>
    </row>
    <row r="25" spans="1:16" ht="27" customHeight="1">
      <c r="A25" s="19" t="s">
        <v>70</v>
      </c>
      <c r="B25" s="20" t="s">
        <v>71</v>
      </c>
      <c r="C25" s="32">
        <v>1</v>
      </c>
      <c r="D25" s="32">
        <v>1</v>
      </c>
      <c r="E25" s="32">
        <v>1</v>
      </c>
      <c r="F25" s="32">
        <v>1</v>
      </c>
      <c r="G25" s="32">
        <v>1</v>
      </c>
      <c r="H25" s="32">
        <v>1</v>
      </c>
      <c r="I25" s="32">
        <v>1</v>
      </c>
      <c r="J25" s="32">
        <v>1</v>
      </c>
      <c r="K25" s="32">
        <v>1</v>
      </c>
      <c r="L25" s="32">
        <v>1</v>
      </c>
      <c r="M25" s="32">
        <v>1</v>
      </c>
      <c r="N25" s="32">
        <v>1</v>
      </c>
      <c r="O25" s="32">
        <v>1</v>
      </c>
      <c r="P25" s="33">
        <v>1</v>
      </c>
    </row>
  </sheetData>
  <phoneticPr fontId="2"/>
  <pageMargins left="0.70866141732283472" right="0.70866141732283472" top="0.74803149606299213" bottom="0.43" header="0.31496062992125984" footer="0.31496062992125984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7" sqref="P17"/>
    </sheetView>
  </sheetViews>
  <sheetFormatPr baseColWidth="10" defaultColWidth="9" defaultRowHeight="18"/>
  <cols>
    <col min="1" max="1" width="5" style="2" customWidth="1"/>
    <col min="2" max="2" width="14.33203125" style="2" customWidth="1"/>
    <col min="3" max="15" width="9" style="2"/>
    <col min="16" max="16" width="10" style="1" customWidth="1"/>
    <col min="17" max="17" width="9" style="1"/>
    <col min="18" max="16384" width="9" style="2"/>
  </cols>
  <sheetData>
    <row r="1" spans="1:17" ht="19">
      <c r="C1" s="3" t="s">
        <v>78</v>
      </c>
      <c r="P1" s="2"/>
      <c r="Q1" s="2"/>
    </row>
    <row r="2" spans="1:17" ht="14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34"/>
      <c r="Q2" s="35"/>
    </row>
    <row r="3" spans="1:17" ht="30">
      <c r="A3" s="8"/>
      <c r="B3" s="9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36" t="s">
        <v>74</v>
      </c>
      <c r="Q3" s="20" t="s">
        <v>75</v>
      </c>
    </row>
    <row r="4" spans="1:17" ht="27" customHeight="1">
      <c r="A4" s="14" t="s">
        <v>2</v>
      </c>
      <c r="B4" s="15" t="s">
        <v>29</v>
      </c>
      <c r="C4" s="28">
        <v>1.1058461945138143</v>
      </c>
      <c r="D4" s="28">
        <v>7.2945820388798871E-3</v>
      </c>
      <c r="E4" s="28">
        <v>4.1898967576180918E-2</v>
      </c>
      <c r="F4" s="28">
        <v>1.53153683968307E-2</v>
      </c>
      <c r="G4" s="28">
        <v>9.4206694271923089E-3</v>
      </c>
      <c r="H4" s="28">
        <v>4.4507093382981948E-3</v>
      </c>
      <c r="I4" s="28">
        <v>4.0151853625001689E-3</v>
      </c>
      <c r="J4" s="28">
        <v>1.0396499331437159E-3</v>
      </c>
      <c r="K4" s="28">
        <v>1.0267785435798411E-2</v>
      </c>
      <c r="L4" s="28">
        <v>6.7769608370279854E-3</v>
      </c>
      <c r="M4" s="28">
        <v>4.4180204975897393E-3</v>
      </c>
      <c r="N4" s="28">
        <v>1.5320228318326391E-2</v>
      </c>
      <c r="O4" s="28">
        <v>2.6458094218465953E-3</v>
      </c>
      <c r="P4" s="39">
        <v>1.2287101310974295</v>
      </c>
      <c r="Q4" s="40">
        <v>0.63094340465661691</v>
      </c>
    </row>
    <row r="5" spans="1:17" ht="27" customHeight="1">
      <c r="A5" s="14" t="s">
        <v>3</v>
      </c>
      <c r="B5" s="15" t="s">
        <v>30</v>
      </c>
      <c r="C5" s="28">
        <v>8.8523119127025415E-2</v>
      </c>
      <c r="D5" s="28">
        <v>1.0538315364315134</v>
      </c>
      <c r="E5" s="28">
        <v>0.27502519411292398</v>
      </c>
      <c r="F5" s="28">
        <v>9.6546431651638662E-2</v>
      </c>
      <c r="G5" s="28">
        <v>0.32697712302024773</v>
      </c>
      <c r="H5" s="28">
        <v>3.0796524617950054E-2</v>
      </c>
      <c r="I5" s="28">
        <v>2.3207450626125524E-2</v>
      </c>
      <c r="J5" s="28">
        <v>6.8492496257665288E-3</v>
      </c>
      <c r="K5" s="28">
        <v>6.1930460512900729E-2</v>
      </c>
      <c r="L5" s="28">
        <v>3.6208720964847264E-2</v>
      </c>
      <c r="M5" s="28">
        <v>2.4325338802666283E-2</v>
      </c>
      <c r="N5" s="28">
        <v>5.4111886486243099E-2</v>
      </c>
      <c r="O5" s="28">
        <v>1.4204335869292845E-2</v>
      </c>
      <c r="P5" s="39">
        <v>2.0925373718491418</v>
      </c>
      <c r="Q5" s="40">
        <v>1.0745192217032487</v>
      </c>
    </row>
    <row r="6" spans="1:17" ht="27" customHeight="1">
      <c r="A6" s="14" t="s">
        <v>4</v>
      </c>
      <c r="B6" s="15" t="s">
        <v>31</v>
      </c>
      <c r="C6" s="28">
        <v>0.52142285964748358</v>
      </c>
      <c r="D6" s="28">
        <v>0.25596459854922265</v>
      </c>
      <c r="E6" s="28">
        <v>1.7167479975589839</v>
      </c>
      <c r="F6" s="28">
        <v>0.53709304322336371</v>
      </c>
      <c r="G6" s="28">
        <v>0.33893581937919182</v>
      </c>
      <c r="H6" s="28">
        <v>0.13055183186377697</v>
      </c>
      <c r="I6" s="28">
        <v>0.11687220181733608</v>
      </c>
      <c r="J6" s="28">
        <v>2.88596312028815E-2</v>
      </c>
      <c r="K6" s="28">
        <v>0.34548912231513818</v>
      </c>
      <c r="L6" s="28">
        <v>0.18662781682117174</v>
      </c>
      <c r="M6" s="28">
        <v>0.1187196249454603</v>
      </c>
      <c r="N6" s="28">
        <v>0.28848344281950111</v>
      </c>
      <c r="O6" s="28">
        <v>7.5825794247642728E-2</v>
      </c>
      <c r="P6" s="39">
        <v>4.6615937843911546</v>
      </c>
      <c r="Q6" s="40">
        <v>2.3937312625744585</v>
      </c>
    </row>
    <row r="7" spans="1:17" ht="27" customHeight="1">
      <c r="A7" s="14" t="s">
        <v>5</v>
      </c>
      <c r="B7" s="15" t="s">
        <v>32</v>
      </c>
      <c r="C7" s="28">
        <v>4.0961232044236908E-3</v>
      </c>
      <c r="D7" s="28">
        <v>4.0531803254920768E-3</v>
      </c>
      <c r="E7" s="28">
        <v>4.3397341590465212E-3</v>
      </c>
      <c r="F7" s="28">
        <v>1.0025402901293103</v>
      </c>
      <c r="G7" s="28">
        <v>1.2456337739192592E-2</v>
      </c>
      <c r="H7" s="28">
        <v>4.2136360084020245E-3</v>
      </c>
      <c r="I7" s="28">
        <v>3.7112545977068564E-3</v>
      </c>
      <c r="J7" s="28">
        <v>7.0127055600168143E-3</v>
      </c>
      <c r="K7" s="28">
        <v>4.718578798331991E-3</v>
      </c>
      <c r="L7" s="28">
        <v>6.1096664950736172E-3</v>
      </c>
      <c r="M7" s="28">
        <v>7.8128150246827444E-3</v>
      </c>
      <c r="N7" s="28">
        <v>3.5738087099001139E-3</v>
      </c>
      <c r="O7" s="28">
        <v>2.1404280953302777E-3</v>
      </c>
      <c r="P7" s="39">
        <v>1.0667785588469101</v>
      </c>
      <c r="Q7" s="40">
        <v>0.54779144315542194</v>
      </c>
    </row>
    <row r="8" spans="1:17" ht="27" customHeight="1">
      <c r="A8" s="14" t="s">
        <v>6</v>
      </c>
      <c r="B8" s="16" t="s">
        <v>33</v>
      </c>
      <c r="C8" s="28">
        <v>4.3474721470488011E-2</v>
      </c>
      <c r="D8" s="28">
        <v>6.0557637320538704E-2</v>
      </c>
      <c r="E8" s="28">
        <v>7.9076481848720334E-2</v>
      </c>
      <c r="F8" s="28">
        <v>3.5793971514876975E-2</v>
      </c>
      <c r="G8" s="28">
        <v>1.0861420398387871</v>
      </c>
      <c r="H8" s="28">
        <v>4.4700845542221083E-2</v>
      </c>
      <c r="I8" s="28">
        <v>2.2888030512487906E-2</v>
      </c>
      <c r="J8" s="28">
        <v>9.8605117860804913E-3</v>
      </c>
      <c r="K8" s="28">
        <v>4.1634968994008176E-2</v>
      </c>
      <c r="L8" s="28">
        <v>3.3202196284397009E-2</v>
      </c>
      <c r="M8" s="28">
        <v>2.6066103909086383E-2</v>
      </c>
      <c r="N8" s="28">
        <v>4.41968390307063E-2</v>
      </c>
      <c r="O8" s="28">
        <v>1.1349356248348586E-2</v>
      </c>
      <c r="P8" s="39">
        <v>1.5389437043007468</v>
      </c>
      <c r="Q8" s="40">
        <v>0.79024853445225274</v>
      </c>
    </row>
    <row r="9" spans="1:17" ht="27" customHeight="1">
      <c r="A9" s="14" t="s">
        <v>7</v>
      </c>
      <c r="B9" s="15" t="s">
        <v>34</v>
      </c>
      <c r="C9" s="28">
        <v>0.1155484123188787</v>
      </c>
      <c r="D9" s="28">
        <v>5.9955451819362418E-2</v>
      </c>
      <c r="E9" s="28">
        <v>9.6549030972062605E-2</v>
      </c>
      <c r="F9" s="28">
        <v>9.4058549485759785E-2</v>
      </c>
      <c r="G9" s="28">
        <v>6.5947022360807808E-2</v>
      </c>
      <c r="H9" s="28">
        <v>1.0301432123421972</v>
      </c>
      <c r="I9" s="28">
        <v>2.501721013969618E-2</v>
      </c>
      <c r="J9" s="28">
        <v>6.9383770202891349E-3</v>
      </c>
      <c r="K9" s="28">
        <v>8.2572862837397204E-2</v>
      </c>
      <c r="L9" s="28">
        <v>4.0340425170569315E-2</v>
      </c>
      <c r="M9" s="28">
        <v>2.7692722096100891E-2</v>
      </c>
      <c r="N9" s="28">
        <v>7.0376787002285696E-2</v>
      </c>
      <c r="O9" s="28">
        <v>1.6186299937793809E-2</v>
      </c>
      <c r="P9" s="39">
        <v>1.7313263635032006</v>
      </c>
      <c r="Q9" s="40">
        <v>0.88903714774843867</v>
      </c>
    </row>
    <row r="10" spans="1:17" ht="27" customHeight="1">
      <c r="A10" s="14" t="s">
        <v>8</v>
      </c>
      <c r="B10" s="15" t="s">
        <v>35</v>
      </c>
      <c r="C10" s="28">
        <v>2.6660077496025451E-2</v>
      </c>
      <c r="D10" s="28">
        <v>6.6174935492643389E-2</v>
      </c>
      <c r="E10" s="28">
        <v>3.7113842515340244E-2</v>
      </c>
      <c r="F10" s="28">
        <v>3.1541187433605435E-2</v>
      </c>
      <c r="G10" s="28">
        <v>7.2299716168928427E-2</v>
      </c>
      <c r="H10" s="28">
        <v>2.8659294454420989E-2</v>
      </c>
      <c r="I10" s="28">
        <v>1.0429934156553935</v>
      </c>
      <c r="J10" s="28">
        <v>9.3190420361541057E-2</v>
      </c>
      <c r="K10" s="28">
        <v>4.1214147675616063E-2</v>
      </c>
      <c r="L10" s="28">
        <v>2.1784298722779875E-2</v>
      </c>
      <c r="M10" s="28">
        <v>3.5225784569399538E-2</v>
      </c>
      <c r="N10" s="28">
        <v>1.862430838556213E-2</v>
      </c>
      <c r="O10" s="28">
        <v>1.097886523798104E-2</v>
      </c>
      <c r="P10" s="39">
        <v>1.5264602941692371</v>
      </c>
      <c r="Q10" s="40">
        <v>0.78383829570614194</v>
      </c>
    </row>
    <row r="11" spans="1:17" ht="27" customHeight="1">
      <c r="A11" s="14" t="s">
        <v>9</v>
      </c>
      <c r="B11" s="15" t="s">
        <v>36</v>
      </c>
      <c r="C11" s="28">
        <v>1.2896045069317689E-2</v>
      </c>
      <c r="D11" s="28">
        <v>2.2347148470387889E-2</v>
      </c>
      <c r="E11" s="28">
        <v>1.4943515960047974E-2</v>
      </c>
      <c r="F11" s="28">
        <v>1.5048274224754075E-2</v>
      </c>
      <c r="G11" s="28">
        <v>1.7746484404123047E-2</v>
      </c>
      <c r="H11" s="28">
        <v>3.2505496543198911E-2</v>
      </c>
      <c r="I11" s="28">
        <v>2.1915276433150371E-2</v>
      </c>
      <c r="J11" s="28">
        <v>1.0419404918679527</v>
      </c>
      <c r="K11" s="28">
        <v>3.9151468743871494E-2</v>
      </c>
      <c r="L11" s="28">
        <v>3.5670223093948954E-2</v>
      </c>
      <c r="M11" s="28">
        <v>7.9322091891782989E-3</v>
      </c>
      <c r="N11" s="28">
        <v>1.9980594479213416E-2</v>
      </c>
      <c r="O11" s="28">
        <v>7.9854463294652834E-3</v>
      </c>
      <c r="P11" s="39">
        <v>1.2900626748086101</v>
      </c>
      <c r="Q11" s="40">
        <v>0.66244797341841444</v>
      </c>
    </row>
    <row r="12" spans="1:17" ht="27" customHeight="1">
      <c r="A12" s="14" t="s">
        <v>10</v>
      </c>
      <c r="B12" s="15" t="s">
        <v>37</v>
      </c>
      <c r="C12" s="28">
        <v>0.15945306976393051</v>
      </c>
      <c r="D12" s="28">
        <v>0.42676571879477937</v>
      </c>
      <c r="E12" s="28">
        <v>0.19604034479572749</v>
      </c>
      <c r="F12" s="28">
        <v>0.13481297267316275</v>
      </c>
      <c r="G12" s="28">
        <v>0.2005074815315567</v>
      </c>
      <c r="H12" s="28">
        <v>9.5037665285108111E-2</v>
      </c>
      <c r="I12" s="28">
        <v>9.4449849028007377E-2</v>
      </c>
      <c r="J12" s="28">
        <v>1.7610272385981392E-2</v>
      </c>
      <c r="K12" s="28">
        <v>1.2078404990474616</v>
      </c>
      <c r="L12" s="28">
        <v>9.0171774807772845E-2</v>
      </c>
      <c r="M12" s="28">
        <v>7.4477843022035972E-2</v>
      </c>
      <c r="N12" s="28">
        <v>7.8957114599437619E-2</v>
      </c>
      <c r="O12" s="28">
        <v>7.2911669249093952E-2</v>
      </c>
      <c r="P12" s="39">
        <v>2.8490362749840554</v>
      </c>
      <c r="Q12" s="40">
        <v>1.4629818716666119</v>
      </c>
    </row>
    <row r="13" spans="1:17" ht="27" customHeight="1">
      <c r="A13" s="14" t="s">
        <v>11</v>
      </c>
      <c r="B13" s="15" t="s">
        <v>38</v>
      </c>
      <c r="C13" s="28">
        <v>2.5320964119992927E-2</v>
      </c>
      <c r="D13" s="28">
        <v>2.5439803057038714E-2</v>
      </c>
      <c r="E13" s="28">
        <v>2.7720142474707079E-2</v>
      </c>
      <c r="F13" s="28">
        <v>3.2084215905608685E-2</v>
      </c>
      <c r="G13" s="28">
        <v>3.8587769486432812E-2</v>
      </c>
      <c r="H13" s="28">
        <v>6.3221167137858386E-2</v>
      </c>
      <c r="I13" s="28">
        <v>6.7743086956202722E-2</v>
      </c>
      <c r="J13" s="28">
        <v>1.2615243481565818E-2</v>
      </c>
      <c r="K13" s="28">
        <v>3.5701000943474552E-2</v>
      </c>
      <c r="L13" s="28">
        <v>1.3167746420030655</v>
      </c>
      <c r="M13" s="28">
        <v>3.8915322777765105E-2</v>
      </c>
      <c r="N13" s="28">
        <v>4.4098905267580979E-2</v>
      </c>
      <c r="O13" s="28">
        <v>3.6228987530354112E-2</v>
      </c>
      <c r="P13" s="39">
        <v>1.7644512511416475</v>
      </c>
      <c r="Q13" s="40">
        <v>0.90604679783311948</v>
      </c>
    </row>
    <row r="14" spans="1:17" ht="27" customHeight="1">
      <c r="A14" s="14" t="s">
        <v>12</v>
      </c>
      <c r="B14" s="15" t="s">
        <v>39</v>
      </c>
      <c r="C14" s="28">
        <v>3.7456925577482873E-3</v>
      </c>
      <c r="D14" s="28">
        <v>4.436885678167587E-3</v>
      </c>
      <c r="E14" s="28">
        <v>3.2418318970498373E-3</v>
      </c>
      <c r="F14" s="28">
        <v>5.5022623887287115E-3</v>
      </c>
      <c r="G14" s="28">
        <v>2.9454157960413312E-3</v>
      </c>
      <c r="H14" s="28">
        <v>2.9284189021396025E-3</v>
      </c>
      <c r="I14" s="28">
        <v>1.5809890703282732E-3</v>
      </c>
      <c r="J14" s="28">
        <v>8.0233951773889299E-4</v>
      </c>
      <c r="K14" s="28">
        <v>5.3665045165975922E-3</v>
      </c>
      <c r="L14" s="28">
        <v>5.0216343290029495E-3</v>
      </c>
      <c r="M14" s="28">
        <v>1.0011428507887439</v>
      </c>
      <c r="N14" s="28">
        <v>3.1947984968823651E-3</v>
      </c>
      <c r="O14" s="28">
        <v>0.2036795671395312</v>
      </c>
      <c r="P14" s="39">
        <v>1.2435891910787005</v>
      </c>
      <c r="Q14" s="40">
        <v>0.63858381106743434</v>
      </c>
    </row>
    <row r="15" spans="1:17" ht="27" customHeight="1">
      <c r="A15" s="14" t="s">
        <v>13</v>
      </c>
      <c r="B15" s="15" t="s">
        <v>40</v>
      </c>
      <c r="C15" s="28">
        <v>0.10068567070278842</v>
      </c>
      <c r="D15" s="28">
        <v>0.14553263052234736</v>
      </c>
      <c r="E15" s="28">
        <v>0.1252406905608526</v>
      </c>
      <c r="F15" s="28">
        <v>0.18221814989474139</v>
      </c>
      <c r="G15" s="28">
        <v>0.17363705360737766</v>
      </c>
      <c r="H15" s="28">
        <v>0.15736175197607172</v>
      </c>
      <c r="I15" s="28">
        <v>0.1645320279947789</v>
      </c>
      <c r="J15" s="28">
        <v>4.6521387018948111E-2</v>
      </c>
      <c r="K15" s="28">
        <v>0.2293564290484815</v>
      </c>
      <c r="L15" s="28">
        <v>0.3154445227042782</v>
      </c>
      <c r="M15" s="28">
        <v>0.2123304830860549</v>
      </c>
      <c r="N15" s="28">
        <v>1.1581964129815092</v>
      </c>
      <c r="O15" s="28">
        <v>0.1115925367323337</v>
      </c>
      <c r="P15" s="39">
        <v>3.1226497468305632</v>
      </c>
      <c r="Q15" s="40">
        <v>1.6034825569930715</v>
      </c>
    </row>
    <row r="16" spans="1:17" ht="27" customHeight="1">
      <c r="A16" s="14" t="s">
        <v>14</v>
      </c>
      <c r="B16" s="15" t="s">
        <v>41</v>
      </c>
      <c r="C16" s="28">
        <v>1.8456906579308333E-2</v>
      </c>
      <c r="D16" s="28">
        <v>2.1862761879805452E-2</v>
      </c>
      <c r="E16" s="28">
        <v>1.5974132299218895E-2</v>
      </c>
      <c r="F16" s="28">
        <v>2.7112407470157422E-2</v>
      </c>
      <c r="G16" s="28">
        <v>1.4513541447041306E-2</v>
      </c>
      <c r="H16" s="28">
        <v>1.4429789222840822E-2</v>
      </c>
      <c r="I16" s="28">
        <v>7.7903263879986039E-3</v>
      </c>
      <c r="J16" s="28">
        <v>3.9535293661945017E-3</v>
      </c>
      <c r="K16" s="28">
        <v>2.6443460319610708E-2</v>
      </c>
      <c r="L16" s="28">
        <v>2.4744111871683284E-2</v>
      </c>
      <c r="M16" s="28">
        <v>5.6313992450609156E-3</v>
      </c>
      <c r="N16" s="28">
        <v>1.5742375138262762E-2</v>
      </c>
      <c r="O16" s="28">
        <v>1.0036314205851897</v>
      </c>
      <c r="P16" s="39">
        <v>1.2002861618123728</v>
      </c>
      <c r="Q16" s="40">
        <v>0.61634767902476995</v>
      </c>
    </row>
    <row r="17" spans="1:17" s="1" customFormat="1" ht="27" customHeight="1">
      <c r="A17" s="37"/>
      <c r="B17" s="18" t="s">
        <v>76</v>
      </c>
      <c r="C17" s="41">
        <v>2.2261298565712258</v>
      </c>
      <c r="D17" s="41">
        <v>2.1542168703801789</v>
      </c>
      <c r="E17" s="41">
        <v>2.6339119067308627</v>
      </c>
      <c r="F17" s="41">
        <v>2.2096671243925385</v>
      </c>
      <c r="G17" s="41">
        <v>2.3601164742069209</v>
      </c>
      <c r="H17" s="41">
        <v>1.6390003432344844</v>
      </c>
      <c r="I17" s="41">
        <v>1.5967163045817123</v>
      </c>
      <c r="J17" s="41">
        <v>1.2771938091281008</v>
      </c>
      <c r="K17" s="41">
        <v>2.1316872891886884</v>
      </c>
      <c r="L17" s="41">
        <v>2.1188769941056185</v>
      </c>
      <c r="M17" s="41">
        <v>1.5846905179538249</v>
      </c>
      <c r="N17" s="41">
        <v>1.8148575017154112</v>
      </c>
      <c r="O17" s="41">
        <v>1.5693605166242039</v>
      </c>
      <c r="P17" s="42"/>
      <c r="Q17" s="43"/>
    </row>
    <row r="18" spans="1:17" s="1" customFormat="1" ht="27" customHeight="1">
      <c r="A18" s="38"/>
      <c r="B18" s="20" t="s">
        <v>77</v>
      </c>
      <c r="C18" s="44">
        <v>1.1431190444065948</v>
      </c>
      <c r="D18" s="44">
        <v>1.1061916819652367</v>
      </c>
      <c r="E18" s="44">
        <v>1.3525153768481439</v>
      </c>
      <c r="F18" s="44">
        <v>1.134665421352723</v>
      </c>
      <c r="G18" s="44">
        <v>1.2119212546024074</v>
      </c>
      <c r="H18" s="44">
        <v>0.8416276798093153</v>
      </c>
      <c r="I18" s="44">
        <v>0.81991480007063877</v>
      </c>
      <c r="J18" s="44">
        <v>0.65583980301187816</v>
      </c>
      <c r="K18" s="44">
        <v>1.0946227282285645</v>
      </c>
      <c r="L18" s="44">
        <v>1.0880446338596761</v>
      </c>
      <c r="M18" s="44">
        <v>0.81373955127384046</v>
      </c>
      <c r="N18" s="44">
        <v>0.93193043836644818</v>
      </c>
      <c r="O18" s="44">
        <v>0.80586758620453436</v>
      </c>
      <c r="P18" s="45"/>
      <c r="Q18" s="46"/>
    </row>
  </sheetData>
  <phoneticPr fontId="2"/>
  <pageMargins left="0.70866141732283472" right="0.37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7" sqref="P17"/>
    </sheetView>
  </sheetViews>
  <sheetFormatPr baseColWidth="10" defaultColWidth="9" defaultRowHeight="18"/>
  <cols>
    <col min="1" max="1" width="5" style="2" customWidth="1"/>
    <col min="2" max="2" width="14.33203125" style="2" customWidth="1"/>
    <col min="3" max="15" width="9" style="2"/>
    <col min="16" max="16" width="10" style="1" customWidth="1"/>
    <col min="17" max="17" width="9" style="1"/>
    <col min="18" max="16384" width="9" style="2"/>
  </cols>
  <sheetData>
    <row r="1" spans="1:17" ht="19">
      <c r="C1" s="3" t="s">
        <v>79</v>
      </c>
      <c r="P1" s="2"/>
      <c r="Q1" s="2"/>
    </row>
    <row r="2" spans="1:17" ht="14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34"/>
      <c r="Q2" s="35"/>
    </row>
    <row r="3" spans="1:17" ht="30">
      <c r="A3" s="8"/>
      <c r="B3" s="9"/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36" t="s">
        <v>74</v>
      </c>
      <c r="Q3" s="20" t="s">
        <v>75</v>
      </c>
    </row>
    <row r="4" spans="1:17" ht="27" customHeight="1">
      <c r="A4" s="14" t="s">
        <v>2</v>
      </c>
      <c r="B4" s="15" t="s">
        <v>29</v>
      </c>
      <c r="C4" s="28">
        <v>1.0554115617771536</v>
      </c>
      <c r="D4" s="28">
        <v>7.0007899009179927E-4</v>
      </c>
      <c r="E4" s="28">
        <v>1.5321720960640432E-2</v>
      </c>
      <c r="F4" s="28">
        <v>2.0100365636289731E-3</v>
      </c>
      <c r="G4" s="28">
        <v>7.8750280907782517E-4</v>
      </c>
      <c r="H4" s="28">
        <v>7.0515258847961304E-4</v>
      </c>
      <c r="I4" s="28">
        <v>6.1725236918185619E-4</v>
      </c>
      <c r="J4" s="28">
        <v>1.6445022424459927E-4</v>
      </c>
      <c r="K4" s="28">
        <v>1.3263700092981962E-3</v>
      </c>
      <c r="L4" s="28">
        <v>1.0753495872180424E-3</v>
      </c>
      <c r="M4" s="28">
        <v>7.9055293533130517E-4</v>
      </c>
      <c r="N4" s="28">
        <v>5.1392415580385591E-3</v>
      </c>
      <c r="O4" s="28">
        <v>4.2054510870390686E-4</v>
      </c>
      <c r="P4" s="39">
        <v>1.0844698154810886</v>
      </c>
      <c r="Q4" s="40">
        <v>0.81850849732120956</v>
      </c>
    </row>
    <row r="5" spans="1:17" ht="27" customHeight="1">
      <c r="A5" s="14" t="s">
        <v>3</v>
      </c>
      <c r="B5" s="15" t="s">
        <v>30</v>
      </c>
      <c r="C5" s="28">
        <v>9.7098921812705687E-5</v>
      </c>
      <c r="D5" s="28">
        <v>1.0000935645772793</v>
      </c>
      <c r="E5" s="28">
        <v>1.3155494896543126E-3</v>
      </c>
      <c r="F5" s="28">
        <v>1.5043776945316737E-4</v>
      </c>
      <c r="G5" s="28">
        <v>2.1109053470602054E-3</v>
      </c>
      <c r="H5" s="28">
        <v>6.5136173815411331E-5</v>
      </c>
      <c r="I5" s="28">
        <v>3.4543044151462906E-5</v>
      </c>
      <c r="J5" s="28">
        <v>1.3955738316886428E-5</v>
      </c>
      <c r="K5" s="28">
        <v>7.7393352693782514E-5</v>
      </c>
      <c r="L5" s="28">
        <v>4.7453492867285295E-5</v>
      </c>
      <c r="M5" s="28">
        <v>3.9300467324460169E-5</v>
      </c>
      <c r="N5" s="28">
        <v>7.9708804883220623E-5</v>
      </c>
      <c r="O5" s="28">
        <v>1.7945249101034381E-5</v>
      </c>
      <c r="P5" s="39">
        <v>1.0041429924284135</v>
      </c>
      <c r="Q5" s="40">
        <v>0.75788146437583914</v>
      </c>
    </row>
    <row r="6" spans="1:17" ht="27" customHeight="1">
      <c r="A6" s="14" t="s">
        <v>4</v>
      </c>
      <c r="B6" s="15" t="s">
        <v>31</v>
      </c>
      <c r="C6" s="28">
        <v>6.1401250875668383E-2</v>
      </c>
      <c r="D6" s="28">
        <v>2.5265522324671393E-2</v>
      </c>
      <c r="E6" s="28">
        <v>1.0835962974627336</v>
      </c>
      <c r="F6" s="28">
        <v>6.5208720540824425E-2</v>
      </c>
      <c r="G6" s="28">
        <v>3.1683176630026899E-2</v>
      </c>
      <c r="H6" s="28">
        <v>1.3117480901998883E-2</v>
      </c>
      <c r="I6" s="28">
        <v>1.1611282358281889E-2</v>
      </c>
      <c r="J6" s="28">
        <v>2.6310486187763903E-3</v>
      </c>
      <c r="K6" s="28">
        <v>3.9080174495858447E-2</v>
      </c>
      <c r="L6" s="28">
        <v>1.7518737511230367E-2</v>
      </c>
      <c r="M6" s="28">
        <v>1.1845621940614087E-2</v>
      </c>
      <c r="N6" s="28">
        <v>3.3696310652525797E-2</v>
      </c>
      <c r="O6" s="28">
        <v>7.5026257834554296E-3</v>
      </c>
      <c r="P6" s="39">
        <v>1.4041582500966663</v>
      </c>
      <c r="Q6" s="40">
        <v>1.0597947890121278</v>
      </c>
    </row>
    <row r="7" spans="1:17" ht="27" customHeight="1">
      <c r="A7" s="14" t="s">
        <v>5</v>
      </c>
      <c r="B7" s="15" t="s">
        <v>32</v>
      </c>
      <c r="C7" s="28">
        <v>2.3372495799299656E-3</v>
      </c>
      <c r="D7" s="28">
        <v>2.5298133751383593E-3</v>
      </c>
      <c r="E7" s="28">
        <v>1.7424834677748796E-3</v>
      </c>
      <c r="F7" s="28">
        <v>1.0008896809680592</v>
      </c>
      <c r="G7" s="28">
        <v>9.8915897352767346E-3</v>
      </c>
      <c r="H7" s="28">
        <v>3.2807005904851565E-3</v>
      </c>
      <c r="I7" s="28">
        <v>2.8941423410387608E-3</v>
      </c>
      <c r="J7" s="28">
        <v>6.4988053294267011E-3</v>
      </c>
      <c r="K7" s="28">
        <v>3.2141246174296916E-3</v>
      </c>
      <c r="L7" s="28">
        <v>4.487243707892781E-3</v>
      </c>
      <c r="M7" s="28">
        <v>6.8617298609892378E-3</v>
      </c>
      <c r="N7" s="28">
        <v>2.3945294267388099E-3</v>
      </c>
      <c r="O7" s="28">
        <v>1.6448480704121414E-3</v>
      </c>
      <c r="P7" s="39">
        <v>1.0486669410705924</v>
      </c>
      <c r="Q7" s="40">
        <v>0.79148611595551432</v>
      </c>
    </row>
    <row r="8" spans="1:17" ht="27" customHeight="1">
      <c r="A8" s="14" t="s">
        <v>6</v>
      </c>
      <c r="B8" s="16" t="s">
        <v>33</v>
      </c>
      <c r="C8" s="28">
        <v>1.2726106263979955E-2</v>
      </c>
      <c r="D8" s="28">
        <v>3.0575349442319363E-2</v>
      </c>
      <c r="E8" s="28">
        <v>2.7322239432582846E-2</v>
      </c>
      <c r="F8" s="28">
        <v>7.1714158924782436E-3</v>
      </c>
      <c r="G8" s="28">
        <v>1.0388484466332826</v>
      </c>
      <c r="H8" s="28">
        <v>2.4885532213011534E-2</v>
      </c>
      <c r="I8" s="28">
        <v>1.0447965182361258E-2</v>
      </c>
      <c r="J8" s="28">
        <v>5.2615314896239862E-3</v>
      </c>
      <c r="K8" s="28">
        <v>1.58829134092771E-2</v>
      </c>
      <c r="L8" s="28">
        <v>1.3421710635240348E-2</v>
      </c>
      <c r="M8" s="28">
        <v>1.2563829634491664E-2</v>
      </c>
      <c r="N8" s="28">
        <v>2.0203319592698669E-2</v>
      </c>
      <c r="O8" s="28">
        <v>4.4054792332338709E-3</v>
      </c>
      <c r="P8" s="39">
        <v>1.2237158390545815</v>
      </c>
      <c r="Q8" s="40">
        <v>0.92360506329850478</v>
      </c>
    </row>
    <row r="9" spans="1:17" ht="27" customHeight="1">
      <c r="A9" s="14" t="s">
        <v>7</v>
      </c>
      <c r="B9" s="15" t="s">
        <v>34</v>
      </c>
      <c r="C9" s="28">
        <v>5.5456473870745329E-2</v>
      </c>
      <c r="D9" s="28">
        <v>2.455678025570043E-2</v>
      </c>
      <c r="E9" s="28">
        <v>3.3466847602292515E-2</v>
      </c>
      <c r="F9" s="28">
        <v>4.2051954681889513E-2</v>
      </c>
      <c r="G9" s="28">
        <v>2.1908867891418118E-2</v>
      </c>
      <c r="H9" s="28">
        <v>1.0125396260232211</v>
      </c>
      <c r="I9" s="28">
        <v>9.7273108781715627E-3</v>
      </c>
      <c r="J9" s="28">
        <v>2.722207003212288E-3</v>
      </c>
      <c r="K9" s="28">
        <v>3.9079052777631136E-2</v>
      </c>
      <c r="L9" s="28">
        <v>1.4951333723535423E-2</v>
      </c>
      <c r="M9" s="28">
        <v>1.1432489712394342E-2</v>
      </c>
      <c r="N9" s="28">
        <v>3.4715204191085348E-2</v>
      </c>
      <c r="O9" s="28">
        <v>6.2232266292731571E-3</v>
      </c>
      <c r="P9" s="39">
        <v>1.3088313752405702</v>
      </c>
      <c r="Q9" s="40">
        <v>0.98784639913630945</v>
      </c>
    </row>
    <row r="10" spans="1:17" ht="27" customHeight="1">
      <c r="A10" s="14" t="s">
        <v>8</v>
      </c>
      <c r="B10" s="15" t="s">
        <v>35</v>
      </c>
      <c r="C10" s="28">
        <v>1.0455776450380034E-2</v>
      </c>
      <c r="D10" s="28">
        <v>4.3724055037856355E-2</v>
      </c>
      <c r="E10" s="28">
        <v>8.9327421464885648E-3</v>
      </c>
      <c r="F10" s="28">
        <v>1.4444896372062527E-2</v>
      </c>
      <c r="G10" s="28">
        <v>3.7454265778555533E-2</v>
      </c>
      <c r="H10" s="28">
        <v>1.8431089328488814E-2</v>
      </c>
      <c r="I10" s="28">
        <v>1.0305662116867789</v>
      </c>
      <c r="J10" s="28">
        <v>7.3180907269726633E-2</v>
      </c>
      <c r="K10" s="28">
        <v>2.4319531382344814E-2</v>
      </c>
      <c r="L10" s="28">
        <v>1.0964152384636598E-2</v>
      </c>
      <c r="M10" s="28">
        <v>2.4479400296293734E-2</v>
      </c>
      <c r="N10" s="28">
        <v>8.2485084573344393E-3</v>
      </c>
      <c r="O10" s="28">
        <v>6.3866065911274391E-3</v>
      </c>
      <c r="P10" s="39">
        <v>1.3115881431820744</v>
      </c>
      <c r="Q10" s="40">
        <v>0.98992708220655512</v>
      </c>
    </row>
    <row r="11" spans="1:17" ht="27" customHeight="1">
      <c r="A11" s="14" t="s">
        <v>9</v>
      </c>
      <c r="B11" s="15" t="s">
        <v>36</v>
      </c>
      <c r="C11" s="28">
        <v>5.7508551078357152E-3</v>
      </c>
      <c r="D11" s="28">
        <v>1.4008636055864651E-2</v>
      </c>
      <c r="E11" s="28">
        <v>4.2105148625038273E-3</v>
      </c>
      <c r="F11" s="28">
        <v>7.9256880307550549E-3</v>
      </c>
      <c r="G11" s="28">
        <v>7.3434705057629562E-3</v>
      </c>
      <c r="H11" s="28">
        <v>2.7839358248857714E-2</v>
      </c>
      <c r="I11" s="28">
        <v>1.7745798474297778E-2</v>
      </c>
      <c r="J11" s="28">
        <v>1.0394333121087767</v>
      </c>
      <c r="K11" s="28">
        <v>3.1482647240925025E-2</v>
      </c>
      <c r="L11" s="28">
        <v>2.7290389271709375E-2</v>
      </c>
      <c r="M11" s="28">
        <v>4.5452562500503477E-3</v>
      </c>
      <c r="N11" s="28">
        <v>1.4886495616127895E-2</v>
      </c>
      <c r="O11" s="28">
        <v>5.5236282313912604E-3</v>
      </c>
      <c r="P11" s="39">
        <v>1.2079860500048583</v>
      </c>
      <c r="Q11" s="40">
        <v>0.91173293388146148</v>
      </c>
    </row>
    <row r="12" spans="1:17" ht="27" customHeight="1">
      <c r="A12" s="14" t="s">
        <v>10</v>
      </c>
      <c r="B12" s="15" t="s">
        <v>37</v>
      </c>
      <c r="C12" s="28">
        <v>6.140429669704723E-2</v>
      </c>
      <c r="D12" s="28">
        <v>0.25453297728518581</v>
      </c>
      <c r="E12" s="28">
        <v>3.4105934091476789E-2</v>
      </c>
      <c r="F12" s="28">
        <v>4.4659311273310014E-2</v>
      </c>
      <c r="G12" s="28">
        <v>3.4574795822150561E-2</v>
      </c>
      <c r="H12" s="28">
        <v>4.7374994576033169E-2</v>
      </c>
      <c r="I12" s="28">
        <v>4.9433913378697812E-2</v>
      </c>
      <c r="J12" s="28">
        <v>7.3030942511181085E-3</v>
      </c>
      <c r="K12" s="28">
        <v>1.1061644155094359</v>
      </c>
      <c r="L12" s="28">
        <v>3.6457308297157896E-2</v>
      </c>
      <c r="M12" s="28">
        <v>3.616846899742842E-2</v>
      </c>
      <c r="N12" s="28">
        <v>2.6145988679321087E-2</v>
      </c>
      <c r="O12" s="28">
        <v>4.0197080321629212E-2</v>
      </c>
      <c r="P12" s="39">
        <v>1.7785225791799921</v>
      </c>
      <c r="Q12" s="40">
        <v>1.3423479593027392</v>
      </c>
    </row>
    <row r="13" spans="1:17" ht="27" customHeight="1">
      <c r="A13" s="14" t="s">
        <v>11</v>
      </c>
      <c r="B13" s="15" t="s">
        <v>38</v>
      </c>
      <c r="C13" s="28">
        <v>7.2707753925550702E-3</v>
      </c>
      <c r="D13" s="28">
        <v>8.0392566931991195E-3</v>
      </c>
      <c r="E13" s="28">
        <v>6.0338867860260294E-3</v>
      </c>
      <c r="F13" s="28">
        <v>1.0902377678888206E-2</v>
      </c>
      <c r="G13" s="28">
        <v>1.3166525373730099E-2</v>
      </c>
      <c r="H13" s="28">
        <v>3.1109573971973968E-2</v>
      </c>
      <c r="I13" s="28">
        <v>3.3714199514877169E-2</v>
      </c>
      <c r="J13" s="28">
        <v>5.5113957913668441E-3</v>
      </c>
      <c r="K13" s="28">
        <v>1.354974436454762E-2</v>
      </c>
      <c r="L13" s="28">
        <v>1.1660049523994538</v>
      </c>
      <c r="M13" s="28">
        <v>1.8111186593350769E-2</v>
      </c>
      <c r="N13" s="28">
        <v>1.9591136954558185E-2</v>
      </c>
      <c r="O13" s="28">
        <v>1.7801210649587191E-2</v>
      </c>
      <c r="P13" s="39">
        <v>1.3508062221641142</v>
      </c>
      <c r="Q13" s="40">
        <v>1.0195271046665382</v>
      </c>
    </row>
    <row r="14" spans="1:17" ht="27" customHeight="1">
      <c r="A14" s="14" t="s">
        <v>12</v>
      </c>
      <c r="B14" s="15" t="s">
        <v>39</v>
      </c>
      <c r="C14" s="28">
        <v>1.6917469626892105E-3</v>
      </c>
      <c r="D14" s="28">
        <v>2.23556830875901E-3</v>
      </c>
      <c r="E14" s="28">
        <v>8.0241696487197921E-4</v>
      </c>
      <c r="F14" s="28">
        <v>2.9300923951353338E-3</v>
      </c>
      <c r="G14" s="28">
        <v>7.2000959966041439E-4</v>
      </c>
      <c r="H14" s="28">
        <v>1.61472909266709E-3</v>
      </c>
      <c r="I14" s="28">
        <v>7.1023034580425151E-4</v>
      </c>
      <c r="J14" s="28">
        <v>4.4997567743112137E-4</v>
      </c>
      <c r="K14" s="28">
        <v>2.9519684636360819E-3</v>
      </c>
      <c r="L14" s="28">
        <v>2.6770557189337032E-3</v>
      </c>
      <c r="M14" s="28">
        <v>1.0004328048378632</v>
      </c>
      <c r="N14" s="28">
        <v>1.6535788888178667E-3</v>
      </c>
      <c r="O14" s="28">
        <v>0.20320498436200193</v>
      </c>
      <c r="P14" s="39">
        <v>1.2220751616182712</v>
      </c>
      <c r="Q14" s="40">
        <v>0.92236675458413331</v>
      </c>
    </row>
    <row r="15" spans="1:17" ht="27" customHeight="1">
      <c r="A15" s="14" t="s">
        <v>13</v>
      </c>
      <c r="B15" s="15" t="s">
        <v>40</v>
      </c>
      <c r="C15" s="28">
        <v>3.6981162543044392E-2</v>
      </c>
      <c r="D15" s="28">
        <v>7.0198264388417711E-2</v>
      </c>
      <c r="E15" s="28">
        <v>3.5283008603743816E-2</v>
      </c>
      <c r="F15" s="28">
        <v>9.8228181377852664E-2</v>
      </c>
      <c r="G15" s="28">
        <v>7.7353087426500489E-2</v>
      </c>
      <c r="H15" s="28">
        <v>9.7669989435336876E-2</v>
      </c>
      <c r="I15" s="28">
        <v>0.10407156925129531</v>
      </c>
      <c r="J15" s="28">
        <v>2.8580560248597314E-2</v>
      </c>
      <c r="K15" s="28">
        <v>0.13729628257712911</v>
      </c>
      <c r="L15" s="28">
        <v>0.19232162279526571</v>
      </c>
      <c r="M15" s="28">
        <v>0.14210811634360668</v>
      </c>
      <c r="N15" s="28">
        <v>1.0931176730793275</v>
      </c>
      <c r="O15" s="28">
        <v>7.169460839110349E-2</v>
      </c>
      <c r="P15" s="39">
        <v>2.1849041264612215</v>
      </c>
      <c r="Q15" s="40">
        <v>1.6490662698134548</v>
      </c>
    </row>
    <row r="16" spans="1:17" ht="27" customHeight="1">
      <c r="A16" s="14" t="s">
        <v>14</v>
      </c>
      <c r="B16" s="15" t="s">
        <v>41</v>
      </c>
      <c r="C16" s="28">
        <v>8.3360860948379183E-3</v>
      </c>
      <c r="D16" s="28">
        <v>1.1015766721450229E-2</v>
      </c>
      <c r="E16" s="28">
        <v>3.9539109870772009E-3</v>
      </c>
      <c r="F16" s="28">
        <v>1.4438035362481793E-2</v>
      </c>
      <c r="G16" s="28">
        <v>3.5478485519714401E-3</v>
      </c>
      <c r="H16" s="28">
        <v>7.9565804066321234E-3</v>
      </c>
      <c r="I16" s="28">
        <v>3.4996612616223777E-3</v>
      </c>
      <c r="J16" s="28">
        <v>2.2172559315171906E-3</v>
      </c>
      <c r="K16" s="28">
        <v>1.4545829727987215E-2</v>
      </c>
      <c r="L16" s="28">
        <v>1.3191196701329179E-2</v>
      </c>
      <c r="M16" s="28">
        <v>2.1326465897451188E-3</v>
      </c>
      <c r="N16" s="28">
        <v>8.1480128445925708E-3</v>
      </c>
      <c r="O16" s="28">
        <v>1.0012929131252311</v>
      </c>
      <c r="P16" s="39">
        <v>1.0942757443064755</v>
      </c>
      <c r="Q16" s="40">
        <v>0.82590956644561442</v>
      </c>
    </row>
    <row r="17" spans="1:17" s="1" customFormat="1" ht="27" customHeight="1">
      <c r="A17" s="37"/>
      <c r="B17" s="18" t="s">
        <v>76</v>
      </c>
      <c r="C17" s="41">
        <v>1.3193204405376791</v>
      </c>
      <c r="D17" s="41">
        <v>1.4874756334559336</v>
      </c>
      <c r="E17" s="41">
        <v>1.2560875528578672</v>
      </c>
      <c r="F17" s="41">
        <v>1.3110108289068192</v>
      </c>
      <c r="G17" s="41">
        <v>1.2793904921044739</v>
      </c>
      <c r="H17" s="41">
        <v>1.2865899435510015</v>
      </c>
      <c r="I17" s="41">
        <v>1.2750740800865601</v>
      </c>
      <c r="J17" s="41">
        <v>1.1739684996821349</v>
      </c>
      <c r="K17" s="41">
        <v>1.4289704479281942</v>
      </c>
      <c r="L17" s="41">
        <v>1.5004085062264705</v>
      </c>
      <c r="M17" s="41">
        <v>1.2715114044594833</v>
      </c>
      <c r="N17" s="41">
        <v>1.2680197087460499</v>
      </c>
      <c r="O17" s="41">
        <v>1.3663157017462511</v>
      </c>
      <c r="P17" s="42"/>
      <c r="Q17" s="43"/>
    </row>
    <row r="18" spans="1:17" s="1" customFormat="1" ht="27" customHeight="1">
      <c r="A18" s="38"/>
      <c r="B18" s="20" t="s">
        <v>77</v>
      </c>
      <c r="C18" s="44">
        <v>0.99576306860196162</v>
      </c>
      <c r="D18" s="44">
        <v>1.1226789608725278</v>
      </c>
      <c r="E18" s="44">
        <v>0.94803776067983803</v>
      </c>
      <c r="F18" s="44">
        <v>0.98949135164663016</v>
      </c>
      <c r="G18" s="44">
        <v>0.96562575945456275</v>
      </c>
      <c r="H18" s="44">
        <v>0.97105957799050813</v>
      </c>
      <c r="I18" s="44">
        <v>0.96236792796477211</v>
      </c>
      <c r="J18" s="44">
        <v>0.8860580339444365</v>
      </c>
      <c r="K18" s="44">
        <v>1.0785219075288484</v>
      </c>
      <c r="L18" s="44">
        <v>1.1324401050799049</v>
      </c>
      <c r="M18" s="44">
        <v>0.95967898242444105</v>
      </c>
      <c r="N18" s="44">
        <v>0.95704360929491095</v>
      </c>
      <c r="O18" s="44">
        <v>1.0312329545166581</v>
      </c>
      <c r="P18" s="45"/>
      <c r="Q18" s="46"/>
    </row>
  </sheetData>
  <phoneticPr fontId="2"/>
  <pageMargins left="0.70866141732283472" right="0.37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13部門</vt:lpstr>
      <vt:lpstr>投入係数</vt:lpstr>
      <vt:lpstr>逆行列係数（閉鎖型）</vt:lpstr>
      <vt:lpstr>逆行列係数（開放型）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2025-10-18T05:13:32Z</dcterms:modified>
</cp:coreProperties>
</file>