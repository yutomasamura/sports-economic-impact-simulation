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murayuto/Desktop/FMSP/15 社会数理実践研究/シミュレーション/実データ/"/>
    </mc:Choice>
  </mc:AlternateContent>
  <xr:revisionPtr revIDLastSave="0" documentId="13_ncr:1_{3CC477F8-5614-314D-8D6D-063E3AB22FB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27" i="1"/>
</calcChain>
</file>

<file path=xl/sharedStrings.xml><?xml version="1.0" encoding="utf-8"?>
<sst xmlns="http://schemas.openxmlformats.org/spreadsheetml/2006/main" count="209" uniqueCount="140">
  <si>
    <t>統計名：</t>
  </si>
  <si>
    <t>令和３年経済センサス‐活動調査 事業所に関する集計 産業横断的集計 売上（収入）金額等</t>
  </si>
  <si>
    <t>表番号：</t>
  </si>
  <si>
    <t>1-1</t>
  </si>
  <si>
    <t>表題：</t>
  </si>
  <si>
    <t>産業(中分類)、経営組織(3区分)別民営事業所数、従業者数、売上（収入）金額、１事業所当たり従業者数、１事業所当たり売上（収入）金額及び従業者１人当たり売上（収入）金額－全国、都道府県</t>
  </si>
  <si>
    <t>実施年月：</t>
  </si>
  <si>
    <t>2021年</t>
  </si>
  <si>
    <t>6月</t>
  </si>
  <si>
    <t>市区町村時点（年月日）：</t>
  </si>
  <si>
    <t>-</t>
  </si>
  <si>
    <t>時間軸：</t>
  </si>
  <si>
    <t>2021000000</t>
  </si>
  <si>
    <t/>
  </si>
  <si>
    <t>経営組織：</t>
  </si>
  <si>
    <t>0</t>
  </si>
  <si>
    <t>総数</t>
  </si>
  <si>
    <t>地域：</t>
  </si>
  <si>
    <t>38000</t>
  </si>
  <si>
    <t>愛媛県</t>
  </si>
  <si>
    <t>/表章項目 コード</t>
  </si>
  <si>
    <t>102-2021</t>
  </si>
  <si>
    <t>113-2021</t>
  </si>
  <si>
    <t>155-2021</t>
  </si>
  <si>
    <t>/表章項目 補助コード</t>
  </si>
  <si>
    <t>産業中分類 コード</t>
  </si>
  <si>
    <t>産業中分類 補助コード</t>
  </si>
  <si>
    <t>産業中分類</t>
  </si>
  <si>
    <t>/表章項目</t>
  </si>
  <si>
    <t>事業所数【事業所】</t>
  </si>
  <si>
    <t>従業者数_男女計【人】</t>
  </si>
  <si>
    <t>売上（収入）金額【百万円】</t>
  </si>
  <si>
    <t>AR</t>
  </si>
  <si>
    <t>全産業（S_公務を除く）</t>
  </si>
  <si>
    <t>･･･</t>
  </si>
  <si>
    <t>AB</t>
  </si>
  <si>
    <t>農林漁業</t>
  </si>
  <si>
    <t>C</t>
  </si>
  <si>
    <t>鉱業，採石業，砂利採取業</t>
  </si>
  <si>
    <t>D</t>
  </si>
  <si>
    <t>建設業</t>
  </si>
  <si>
    <t>E</t>
  </si>
  <si>
    <t>製造業</t>
  </si>
  <si>
    <t>F</t>
  </si>
  <si>
    <t>電気・ガス・熱供給・水道業</t>
  </si>
  <si>
    <t>G</t>
  </si>
  <si>
    <t>情報通信業</t>
  </si>
  <si>
    <t>H</t>
  </si>
  <si>
    <t>運輸業，郵便業</t>
  </si>
  <si>
    <t>I</t>
  </si>
  <si>
    <t>卸売業，小売業</t>
  </si>
  <si>
    <t>J</t>
  </si>
  <si>
    <t>金融業，保険業</t>
  </si>
  <si>
    <t>K</t>
  </si>
  <si>
    <t>不動産業，物品賃貸業</t>
  </si>
  <si>
    <t>L</t>
  </si>
  <si>
    <t>学術研究，専門・技術サービス業</t>
  </si>
  <si>
    <t>M</t>
  </si>
  <si>
    <t>宿泊業，飲食サービス業</t>
  </si>
  <si>
    <t>N</t>
  </si>
  <si>
    <t>生活関連サービス業，娯楽業</t>
  </si>
  <si>
    <t>80</t>
  </si>
  <si>
    <t>娯楽業</t>
  </si>
  <si>
    <t>O</t>
  </si>
  <si>
    <t>教育，学習支援業</t>
  </si>
  <si>
    <t>P</t>
  </si>
  <si>
    <t>医療，福祉</t>
  </si>
  <si>
    <t>Q</t>
  </si>
  <si>
    <t>複合サービス事業</t>
  </si>
  <si>
    <t>R</t>
  </si>
  <si>
    <t>サービス業（他に分類されないもの）</t>
  </si>
  <si>
    <t>*</t>
  </si>
  <si>
    <t>項目名短縮</t>
  </si>
  <si>
    <t>***</t>
  </si>
  <si>
    <t>数字が得られないもの</t>
  </si>
  <si>
    <t>該当数字がないもの 及び 分母が０のため計算できないもの</t>
  </si>
  <si>
    <t>X</t>
  </si>
  <si>
    <t>数字が秘匿されているもの</t>
  </si>
  <si>
    <t>x</t>
  </si>
  <si>
    <t>そ他</t>
  </si>
  <si>
    <t>製造品出荷額等の都道府県別順位</t>
  </si>
  <si>
    <t>は用</t>
  </si>
  <si>
    <t>グロス</t>
  </si>
  <si>
    <t>単位</t>
  </si>
  <si>
    <t>ダース</t>
  </si>
  <si>
    <t>デカ</t>
  </si>
  <si>
    <t>プラ</t>
  </si>
  <si>
    <t>万本</t>
  </si>
  <si>
    <t>個</t>
  </si>
  <si>
    <t>化学</t>
  </si>
  <si>
    <t>千ダース</t>
  </si>
  <si>
    <t>千個</t>
  </si>
  <si>
    <t>千双</t>
  </si>
  <si>
    <t>千本</t>
  </si>
  <si>
    <t>千袋</t>
  </si>
  <si>
    <t>千足</t>
  </si>
  <si>
    <t>千連</t>
  </si>
  <si>
    <t>千ｃｍプライ</t>
  </si>
  <si>
    <t>千ｍ２</t>
  </si>
  <si>
    <t>千ｍ３</t>
  </si>
  <si>
    <t>印刷</t>
  </si>
  <si>
    <t>台</t>
  </si>
  <si>
    <t>導体ｔ</t>
  </si>
  <si>
    <t>情報</t>
  </si>
  <si>
    <t>本</t>
  </si>
  <si>
    <t>枚</t>
  </si>
  <si>
    <t>点</t>
  </si>
  <si>
    <t>生産</t>
  </si>
  <si>
    <t>畳</t>
  </si>
  <si>
    <t>着</t>
  </si>
  <si>
    <t>石油</t>
  </si>
  <si>
    <t>窯業</t>
  </si>
  <si>
    <t>紙パ</t>
  </si>
  <si>
    <t>総ｔ</t>
  </si>
  <si>
    <t>繊維</t>
  </si>
  <si>
    <t>足</t>
  </si>
  <si>
    <t>輸送</t>
  </si>
  <si>
    <t>連</t>
  </si>
  <si>
    <t>金属</t>
  </si>
  <si>
    <t>鉄鋼</t>
  </si>
  <si>
    <t>隻</t>
  </si>
  <si>
    <t>電子</t>
  </si>
  <si>
    <t>電気</t>
  </si>
  <si>
    <t>非鉄</t>
  </si>
  <si>
    <t>食料</t>
  </si>
  <si>
    <t>飲料</t>
  </si>
  <si>
    <t>２ｍｍ換算箱</t>
  </si>
  <si>
    <t>Ｋｍ</t>
  </si>
  <si>
    <t>ｇ</t>
  </si>
  <si>
    <t>ｋｇ</t>
  </si>
  <si>
    <t>ｋｌ</t>
  </si>
  <si>
    <t>ｍ</t>
  </si>
  <si>
    <t>ｍ２</t>
  </si>
  <si>
    <t>ｍ３</t>
  </si>
  <si>
    <t>ｔ</t>
  </si>
  <si>
    <t>調査していないもの</t>
  </si>
  <si>
    <t>娯楽</t>
    <rPh sb="0" eb="2">
      <t>ゴラク</t>
    </rPh>
    <phoneticPr fontId="7"/>
  </si>
  <si>
    <t>興行</t>
    <rPh sb="0" eb="2">
      <t>コウギョウ</t>
    </rPh>
    <phoneticPr fontId="7"/>
  </si>
  <si>
    <t>全国 売上</t>
    <rPh sb="0" eb="2">
      <t>ゼンコク</t>
    </rPh>
    <rPh sb="3" eb="5">
      <t>ウリアゲ</t>
    </rPh>
    <phoneticPr fontId="7"/>
  </si>
  <si>
    <t>愛媛県</t>
    <rPh sb="0" eb="3">
      <t>エヒメ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</si>
</sst>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游ゴシック"/>
      <family val="2"/>
      <scheme val="minor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6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 applyAlignment="1"/>
    <xf numFmtId="0" fontId="4" fillId="2" borderId="5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7" xfId="0" applyFont="1" applyFill="1" applyBorder="1" applyAlignment="1"/>
    <xf numFmtId="0" fontId="6" fillId="2" borderId="7" xfId="0" applyFont="1" applyFill="1" applyBorder="1" applyAlignme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/>
    <xf numFmtId="0" fontId="0" fillId="3" borderId="1" xfId="0" applyFill="1" applyBorder="1" applyAlignment="1">
      <alignment horizontal="left"/>
    </xf>
    <xf numFmtId="0" fontId="0" fillId="3" borderId="5" xfId="0" applyFill="1" applyBorder="1" applyAlignment="1"/>
    <xf numFmtId="0" fontId="0" fillId="3" borderId="9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6" xfId="0" applyFill="1" applyBorder="1" applyAlignment="1"/>
    <xf numFmtId="0" fontId="0" fillId="3" borderId="6" xfId="0" applyFill="1" applyBorder="1" applyAlignment="1">
      <alignment horizontal="left"/>
    </xf>
    <xf numFmtId="0" fontId="0" fillId="3" borderId="7" xfId="0" applyFill="1" applyBorder="1" applyAlignment="1"/>
    <xf numFmtId="0" fontId="0" fillId="3" borderId="10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3" fontId="0" fillId="3" borderId="9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8" fillId="0" borderId="1" xfId="0" applyNumberFormat="1" applyFont="1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zoomScale="115" workbookViewId="0">
      <pane xSplit="3" ySplit="12" topLeftCell="D15" activePane="bottomRight" state="frozen"/>
      <selection pane="topRight"/>
      <selection pane="bottomLeft"/>
      <selection pane="bottomRight" activeCell="G26" sqref="G26"/>
    </sheetView>
  </sheetViews>
  <sheetFormatPr baseColWidth="10" defaultColWidth="8.83203125" defaultRowHeight="18"/>
  <cols>
    <col min="3" max="3" width="22.1640625" customWidth="1"/>
    <col min="5" max="7" width="17.5" customWidth="1"/>
    <col min="10" max="11" width="11" customWidth="1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  <c r="C4" t="s">
        <v>8</v>
      </c>
    </row>
    <row r="5" spans="1:7">
      <c r="A5" t="s">
        <v>9</v>
      </c>
      <c r="B5" t="s">
        <v>10</v>
      </c>
    </row>
    <row r="6" spans="1:7">
      <c r="A6" t="s">
        <v>11</v>
      </c>
      <c r="B6" t="s">
        <v>12</v>
      </c>
      <c r="C6" t="s">
        <v>13</v>
      </c>
      <c r="D6" t="s">
        <v>7</v>
      </c>
    </row>
    <row r="7" spans="1:7">
      <c r="A7" t="s">
        <v>14</v>
      </c>
      <c r="B7" t="s">
        <v>15</v>
      </c>
      <c r="C7" t="s">
        <v>13</v>
      </c>
      <c r="D7" t="s">
        <v>16</v>
      </c>
    </row>
    <row r="8" spans="1:7">
      <c r="A8" t="s">
        <v>17</v>
      </c>
      <c r="B8" t="s">
        <v>18</v>
      </c>
      <c r="C8" t="s">
        <v>13</v>
      </c>
      <c r="D8" t="s">
        <v>19</v>
      </c>
    </row>
    <row r="10" spans="1:7">
      <c r="A10" s="1"/>
      <c r="B10" s="1"/>
      <c r="C10" s="1"/>
      <c r="D10" s="2" t="s">
        <v>20</v>
      </c>
      <c r="E10" s="3" t="s">
        <v>21</v>
      </c>
      <c r="F10" s="3" t="s">
        <v>22</v>
      </c>
      <c r="G10" s="4" t="s">
        <v>23</v>
      </c>
    </row>
    <row r="11" spans="1:7">
      <c r="A11" s="5"/>
      <c r="B11" s="5"/>
      <c r="C11" s="5"/>
      <c r="D11" s="6" t="s">
        <v>24</v>
      </c>
      <c r="E11" s="7" t="s">
        <v>10</v>
      </c>
      <c r="F11" s="7" t="s">
        <v>10</v>
      </c>
      <c r="G11" s="8" t="s">
        <v>10</v>
      </c>
    </row>
    <row r="12" spans="1:7">
      <c r="A12" s="9" t="s">
        <v>25</v>
      </c>
      <c r="B12" s="9" t="s">
        <v>26</v>
      </c>
      <c r="C12" s="9" t="s">
        <v>27</v>
      </c>
      <c r="D12" s="10" t="s">
        <v>28</v>
      </c>
      <c r="E12" s="11" t="s">
        <v>29</v>
      </c>
      <c r="F12" s="11" t="s">
        <v>30</v>
      </c>
      <c r="G12" s="12" t="s">
        <v>31</v>
      </c>
    </row>
    <row r="13" spans="1:7">
      <c r="A13" s="13" t="s">
        <v>32</v>
      </c>
      <c r="B13" s="14"/>
      <c r="C13" s="15" t="s">
        <v>33</v>
      </c>
      <c r="D13" s="16"/>
      <c r="E13" s="24">
        <v>56823</v>
      </c>
      <c r="F13" s="24">
        <v>543240</v>
      </c>
      <c r="G13" s="17" t="s">
        <v>34</v>
      </c>
    </row>
    <row r="14" spans="1:7">
      <c r="A14" s="13" t="s">
        <v>35</v>
      </c>
      <c r="B14" s="14"/>
      <c r="C14" s="15" t="s">
        <v>36</v>
      </c>
      <c r="D14" s="16"/>
      <c r="E14" s="23">
        <v>674</v>
      </c>
      <c r="F14" s="24">
        <v>6731</v>
      </c>
      <c r="G14" s="25">
        <v>108967</v>
      </c>
    </row>
    <row r="15" spans="1:7">
      <c r="A15" s="13" t="s">
        <v>37</v>
      </c>
      <c r="B15" s="14"/>
      <c r="C15" s="15" t="s">
        <v>38</v>
      </c>
      <c r="D15" s="16"/>
      <c r="E15" s="23">
        <v>26</v>
      </c>
      <c r="F15" s="23">
        <v>153</v>
      </c>
      <c r="G15" s="25">
        <v>2549</v>
      </c>
    </row>
    <row r="16" spans="1:7">
      <c r="A16" s="13" t="s">
        <v>39</v>
      </c>
      <c r="B16" s="14"/>
      <c r="C16" s="15" t="s">
        <v>40</v>
      </c>
      <c r="D16" s="16"/>
      <c r="E16" s="24">
        <v>5701</v>
      </c>
      <c r="F16" s="24">
        <v>40312</v>
      </c>
      <c r="G16" s="17" t="s">
        <v>34</v>
      </c>
    </row>
    <row r="17" spans="1:11">
      <c r="A17" s="13" t="s">
        <v>41</v>
      </c>
      <c r="B17" s="14"/>
      <c r="C17" s="15" t="s">
        <v>42</v>
      </c>
      <c r="D17" s="16"/>
      <c r="E17" s="24">
        <v>4391</v>
      </c>
      <c r="F17" s="24">
        <v>90182</v>
      </c>
      <c r="G17" s="25">
        <v>3962772</v>
      </c>
    </row>
    <row r="18" spans="1:11">
      <c r="A18" s="13" t="s">
        <v>43</v>
      </c>
      <c r="B18" s="14"/>
      <c r="C18" s="15" t="s">
        <v>44</v>
      </c>
      <c r="D18" s="16"/>
      <c r="E18" s="23">
        <v>119</v>
      </c>
      <c r="F18" s="24">
        <v>1980</v>
      </c>
      <c r="G18" s="17" t="s">
        <v>34</v>
      </c>
    </row>
    <row r="19" spans="1:11">
      <c r="A19" s="13" t="s">
        <v>45</v>
      </c>
      <c r="B19" s="14"/>
      <c r="C19" s="15" t="s">
        <v>46</v>
      </c>
      <c r="D19" s="16"/>
      <c r="E19" s="23">
        <v>479</v>
      </c>
      <c r="F19" s="24">
        <v>8325</v>
      </c>
      <c r="G19" s="17" t="s">
        <v>34</v>
      </c>
    </row>
    <row r="20" spans="1:11">
      <c r="A20" s="13" t="s">
        <v>47</v>
      </c>
      <c r="B20" s="14"/>
      <c r="C20" s="15" t="s">
        <v>48</v>
      </c>
      <c r="D20" s="16"/>
      <c r="E20" s="24">
        <v>1595</v>
      </c>
      <c r="F20" s="24">
        <v>31626</v>
      </c>
      <c r="G20" s="17" t="s">
        <v>34</v>
      </c>
    </row>
    <row r="21" spans="1:11">
      <c r="A21" s="13" t="s">
        <v>49</v>
      </c>
      <c r="B21" s="14"/>
      <c r="C21" s="15" t="s">
        <v>50</v>
      </c>
      <c r="D21" s="16"/>
      <c r="E21" s="24">
        <v>14652</v>
      </c>
      <c r="F21" s="24">
        <v>110506</v>
      </c>
      <c r="G21" s="25">
        <v>4257099</v>
      </c>
    </row>
    <row r="22" spans="1:11">
      <c r="A22" s="13" t="s">
        <v>51</v>
      </c>
      <c r="B22" s="14"/>
      <c r="C22" s="15" t="s">
        <v>52</v>
      </c>
      <c r="D22" s="16"/>
      <c r="E22" s="24">
        <v>1075</v>
      </c>
      <c r="F22" s="24">
        <v>15163</v>
      </c>
      <c r="G22" s="17" t="s">
        <v>34</v>
      </c>
    </row>
    <row r="23" spans="1:11">
      <c r="A23" s="13" t="s">
        <v>53</v>
      </c>
      <c r="B23" s="14"/>
      <c r="C23" s="15" t="s">
        <v>54</v>
      </c>
      <c r="D23" s="16"/>
      <c r="E23" s="24">
        <v>3268</v>
      </c>
      <c r="F23" s="24">
        <v>10749</v>
      </c>
      <c r="G23" s="25">
        <v>200529</v>
      </c>
    </row>
    <row r="24" spans="1:11">
      <c r="A24" s="13" t="s">
        <v>55</v>
      </c>
      <c r="B24" s="14"/>
      <c r="C24" s="15" t="s">
        <v>56</v>
      </c>
      <c r="D24" s="16"/>
      <c r="E24" s="24">
        <v>2324</v>
      </c>
      <c r="F24" s="24">
        <v>13601</v>
      </c>
      <c r="G24" s="25">
        <v>153407</v>
      </c>
    </row>
    <row r="25" spans="1:11">
      <c r="A25" s="13" t="s">
        <v>57</v>
      </c>
      <c r="B25" s="14"/>
      <c r="C25" s="15" t="s">
        <v>58</v>
      </c>
      <c r="D25" s="16"/>
      <c r="E25" s="24">
        <v>5954</v>
      </c>
      <c r="F25" s="24">
        <v>40412</v>
      </c>
      <c r="G25" s="25">
        <v>160215</v>
      </c>
    </row>
    <row r="26" spans="1:11">
      <c r="A26" s="13" t="s">
        <v>59</v>
      </c>
      <c r="B26" s="14"/>
      <c r="C26" s="15" t="s">
        <v>60</v>
      </c>
      <c r="D26" s="16"/>
      <c r="E26" s="24">
        <v>5136</v>
      </c>
      <c r="F26" s="24">
        <v>20387</v>
      </c>
      <c r="G26" s="25">
        <v>319457</v>
      </c>
      <c r="J26" t="s">
        <v>138</v>
      </c>
      <c r="K26" t="s">
        <v>139</v>
      </c>
    </row>
    <row r="27" spans="1:11">
      <c r="A27" s="13" t="s">
        <v>61</v>
      </c>
      <c r="B27" s="14"/>
      <c r="C27" s="15" t="s">
        <v>62</v>
      </c>
      <c r="D27" s="16"/>
      <c r="E27" s="23">
        <v>496</v>
      </c>
      <c r="F27" s="24">
        <v>6452</v>
      </c>
      <c r="G27" s="25">
        <v>243939</v>
      </c>
      <c r="I27" t="s">
        <v>136</v>
      </c>
      <c r="J27" s="27">
        <v>20750475</v>
      </c>
      <c r="K27" s="27">
        <f>G27</f>
        <v>243939</v>
      </c>
    </row>
    <row r="28" spans="1:11">
      <c r="A28" s="13" t="s">
        <v>63</v>
      </c>
      <c r="B28" s="14"/>
      <c r="C28" s="15" t="s">
        <v>64</v>
      </c>
      <c r="D28" s="16"/>
      <c r="E28" s="24">
        <v>1538</v>
      </c>
      <c r="F28" s="24">
        <v>15012</v>
      </c>
      <c r="G28" s="17" t="s">
        <v>34</v>
      </c>
      <c r="I28" t="s">
        <v>137</v>
      </c>
      <c r="J28" s="27">
        <v>1178840</v>
      </c>
      <c r="K28" s="27">
        <f>K27*J28/J27</f>
        <v>13858.239426326385</v>
      </c>
    </row>
    <row r="29" spans="1:11">
      <c r="A29" s="13" t="s">
        <v>65</v>
      </c>
      <c r="B29" s="14"/>
      <c r="C29" s="15" t="s">
        <v>66</v>
      </c>
      <c r="D29" s="16"/>
      <c r="E29" s="24">
        <v>5059</v>
      </c>
      <c r="F29" s="24">
        <v>92788</v>
      </c>
      <c r="G29" s="25">
        <v>1445239</v>
      </c>
    </row>
    <row r="30" spans="1:11">
      <c r="A30" s="13" t="s">
        <v>67</v>
      </c>
      <c r="B30" s="14"/>
      <c r="C30" s="15" t="s">
        <v>68</v>
      </c>
      <c r="D30" s="16"/>
      <c r="E30" s="23">
        <v>588</v>
      </c>
      <c r="F30" s="24">
        <v>6966</v>
      </c>
      <c r="G30" s="17" t="s">
        <v>34</v>
      </c>
    </row>
    <row r="31" spans="1:11">
      <c r="A31" s="18" t="s">
        <v>69</v>
      </c>
      <c r="B31" s="19"/>
      <c r="C31" s="20" t="s">
        <v>70</v>
      </c>
      <c r="D31" s="21"/>
      <c r="E31" s="26">
        <v>4244</v>
      </c>
      <c r="F31" s="26">
        <v>38347</v>
      </c>
      <c r="G31" s="22" t="s">
        <v>34</v>
      </c>
    </row>
    <row r="33" spans="1:2">
      <c r="A33" t="s">
        <v>71</v>
      </c>
      <c r="B33" t="s">
        <v>72</v>
      </c>
    </row>
    <row r="34" spans="1:2">
      <c r="A34" t="s">
        <v>73</v>
      </c>
      <c r="B34" t="s">
        <v>74</v>
      </c>
    </row>
    <row r="35" spans="1:2">
      <c r="A35" t="s">
        <v>10</v>
      </c>
      <c r="B35" t="s">
        <v>75</v>
      </c>
    </row>
    <row r="36" spans="1:2">
      <c r="A36" t="s">
        <v>76</v>
      </c>
      <c r="B36" t="s">
        <v>77</v>
      </c>
    </row>
    <row r="37" spans="1:2">
      <c r="A37" t="s">
        <v>78</v>
      </c>
      <c r="B37" t="s">
        <v>77</v>
      </c>
    </row>
    <row r="38" spans="1:2">
      <c r="A38" t="s">
        <v>79</v>
      </c>
      <c r="B38" t="s">
        <v>80</v>
      </c>
    </row>
    <row r="39" spans="1:2">
      <c r="A39" t="s">
        <v>81</v>
      </c>
      <c r="B39" t="s">
        <v>80</v>
      </c>
    </row>
    <row r="40" spans="1:2">
      <c r="A40" t="s">
        <v>82</v>
      </c>
      <c r="B40" t="s">
        <v>83</v>
      </c>
    </row>
    <row r="41" spans="1:2">
      <c r="A41" t="s">
        <v>84</v>
      </c>
      <c r="B41" t="s">
        <v>83</v>
      </c>
    </row>
    <row r="42" spans="1:2">
      <c r="A42" t="s">
        <v>85</v>
      </c>
      <c r="B42" t="s">
        <v>83</v>
      </c>
    </row>
    <row r="43" spans="1:2">
      <c r="A43" t="s">
        <v>86</v>
      </c>
      <c r="B43" t="s">
        <v>80</v>
      </c>
    </row>
    <row r="44" spans="1:2">
      <c r="A44" t="s">
        <v>87</v>
      </c>
      <c r="B44" t="s">
        <v>83</v>
      </c>
    </row>
    <row r="45" spans="1:2">
      <c r="A45" t="s">
        <v>88</v>
      </c>
      <c r="B45" t="s">
        <v>83</v>
      </c>
    </row>
    <row r="46" spans="1:2">
      <c r="A46" t="s">
        <v>89</v>
      </c>
      <c r="B46" t="s">
        <v>80</v>
      </c>
    </row>
    <row r="47" spans="1:2">
      <c r="A47" t="s">
        <v>90</v>
      </c>
      <c r="B47" t="s">
        <v>83</v>
      </c>
    </row>
    <row r="48" spans="1:2">
      <c r="A48" t="s">
        <v>91</v>
      </c>
      <c r="B48" t="s">
        <v>83</v>
      </c>
    </row>
    <row r="49" spans="1:2">
      <c r="A49" t="s">
        <v>92</v>
      </c>
      <c r="B49" t="s">
        <v>83</v>
      </c>
    </row>
    <row r="50" spans="1:2">
      <c r="A50" t="s">
        <v>93</v>
      </c>
      <c r="B50" t="s">
        <v>83</v>
      </c>
    </row>
    <row r="51" spans="1:2">
      <c r="A51" t="s">
        <v>94</v>
      </c>
      <c r="B51" t="s">
        <v>83</v>
      </c>
    </row>
    <row r="52" spans="1:2">
      <c r="A52" t="s">
        <v>95</v>
      </c>
      <c r="B52" t="s">
        <v>83</v>
      </c>
    </row>
    <row r="53" spans="1:2">
      <c r="A53" t="s">
        <v>96</v>
      </c>
      <c r="B53" t="s">
        <v>83</v>
      </c>
    </row>
    <row r="54" spans="1:2">
      <c r="A54" t="s">
        <v>97</v>
      </c>
      <c r="B54" t="s">
        <v>83</v>
      </c>
    </row>
    <row r="55" spans="1:2">
      <c r="A55" t="s">
        <v>98</v>
      </c>
      <c r="B55" t="s">
        <v>83</v>
      </c>
    </row>
    <row r="56" spans="1:2">
      <c r="A56" t="s">
        <v>99</v>
      </c>
      <c r="B56" t="s">
        <v>83</v>
      </c>
    </row>
    <row r="57" spans="1:2">
      <c r="A57" t="s">
        <v>100</v>
      </c>
      <c r="B57" t="s">
        <v>80</v>
      </c>
    </row>
    <row r="58" spans="1:2">
      <c r="A58" t="s">
        <v>101</v>
      </c>
      <c r="B58" t="s">
        <v>83</v>
      </c>
    </row>
    <row r="59" spans="1:2">
      <c r="A59" t="s">
        <v>102</v>
      </c>
      <c r="B59" t="s">
        <v>83</v>
      </c>
    </row>
    <row r="60" spans="1:2">
      <c r="A60" t="s">
        <v>103</v>
      </c>
      <c r="B60" t="s">
        <v>80</v>
      </c>
    </row>
    <row r="61" spans="1:2">
      <c r="A61" t="s">
        <v>104</v>
      </c>
      <c r="B61" t="s">
        <v>83</v>
      </c>
    </row>
    <row r="62" spans="1:2">
      <c r="A62" t="s">
        <v>105</v>
      </c>
      <c r="B62" t="s">
        <v>83</v>
      </c>
    </row>
    <row r="63" spans="1:2">
      <c r="A63" t="s">
        <v>106</v>
      </c>
      <c r="B63" t="s">
        <v>83</v>
      </c>
    </row>
    <row r="64" spans="1:2">
      <c r="A64" t="s">
        <v>107</v>
      </c>
      <c r="B64" t="s">
        <v>80</v>
      </c>
    </row>
    <row r="65" spans="1:2">
      <c r="A65" t="s">
        <v>108</v>
      </c>
      <c r="B65" t="s">
        <v>83</v>
      </c>
    </row>
    <row r="66" spans="1:2">
      <c r="A66" t="s">
        <v>109</v>
      </c>
      <c r="B66" t="s">
        <v>83</v>
      </c>
    </row>
    <row r="67" spans="1:2">
      <c r="A67" t="s">
        <v>110</v>
      </c>
      <c r="B67" t="s">
        <v>80</v>
      </c>
    </row>
    <row r="68" spans="1:2">
      <c r="A68" t="s">
        <v>111</v>
      </c>
      <c r="B68" t="s">
        <v>80</v>
      </c>
    </row>
    <row r="69" spans="1:2">
      <c r="A69" t="s">
        <v>112</v>
      </c>
      <c r="B69" t="s">
        <v>80</v>
      </c>
    </row>
    <row r="70" spans="1:2">
      <c r="A70" t="s">
        <v>113</v>
      </c>
      <c r="B70" t="s">
        <v>83</v>
      </c>
    </row>
    <row r="71" spans="1:2">
      <c r="A71" t="s">
        <v>114</v>
      </c>
      <c r="B71" t="s">
        <v>80</v>
      </c>
    </row>
    <row r="72" spans="1:2">
      <c r="A72" t="s">
        <v>115</v>
      </c>
      <c r="B72" t="s">
        <v>83</v>
      </c>
    </row>
    <row r="73" spans="1:2">
      <c r="A73" t="s">
        <v>116</v>
      </c>
      <c r="B73" t="s">
        <v>80</v>
      </c>
    </row>
    <row r="74" spans="1:2">
      <c r="A74" t="s">
        <v>117</v>
      </c>
      <c r="B74" t="s">
        <v>83</v>
      </c>
    </row>
    <row r="75" spans="1:2">
      <c r="A75" t="s">
        <v>118</v>
      </c>
      <c r="B75" t="s">
        <v>80</v>
      </c>
    </row>
    <row r="76" spans="1:2">
      <c r="A76" t="s">
        <v>119</v>
      </c>
      <c r="B76" t="s">
        <v>80</v>
      </c>
    </row>
    <row r="77" spans="1:2">
      <c r="A77" t="s">
        <v>120</v>
      </c>
      <c r="B77" t="s">
        <v>83</v>
      </c>
    </row>
    <row r="78" spans="1:2">
      <c r="A78" t="s">
        <v>121</v>
      </c>
      <c r="B78" t="s">
        <v>80</v>
      </c>
    </row>
    <row r="79" spans="1:2">
      <c r="A79" t="s">
        <v>122</v>
      </c>
      <c r="B79" t="s">
        <v>80</v>
      </c>
    </row>
    <row r="80" spans="1:2">
      <c r="A80" t="s">
        <v>123</v>
      </c>
      <c r="B80" t="s">
        <v>80</v>
      </c>
    </row>
    <row r="81" spans="1:2">
      <c r="A81" t="s">
        <v>124</v>
      </c>
      <c r="B81" t="s">
        <v>80</v>
      </c>
    </row>
    <row r="82" spans="1:2">
      <c r="A82" t="s">
        <v>125</v>
      </c>
      <c r="B82" t="s">
        <v>80</v>
      </c>
    </row>
    <row r="83" spans="1:2">
      <c r="A83" t="s">
        <v>126</v>
      </c>
      <c r="B83" t="s">
        <v>83</v>
      </c>
    </row>
    <row r="84" spans="1:2">
      <c r="A84" t="s">
        <v>127</v>
      </c>
      <c r="B84" t="s">
        <v>83</v>
      </c>
    </row>
    <row r="85" spans="1:2">
      <c r="A85" t="s">
        <v>128</v>
      </c>
      <c r="B85" t="s">
        <v>83</v>
      </c>
    </row>
    <row r="86" spans="1:2">
      <c r="A86" t="s">
        <v>129</v>
      </c>
      <c r="B86" t="s">
        <v>83</v>
      </c>
    </row>
    <row r="87" spans="1:2">
      <c r="A87" t="s">
        <v>130</v>
      </c>
      <c r="B87" t="s">
        <v>83</v>
      </c>
    </row>
    <row r="88" spans="1:2">
      <c r="A88" t="s">
        <v>131</v>
      </c>
      <c r="B88" t="s">
        <v>83</v>
      </c>
    </row>
    <row r="89" spans="1:2">
      <c r="A89" t="s">
        <v>132</v>
      </c>
      <c r="B89" t="s">
        <v>83</v>
      </c>
    </row>
    <row r="90" spans="1:2">
      <c r="A90" t="s">
        <v>133</v>
      </c>
      <c r="B90" t="s">
        <v>83</v>
      </c>
    </row>
    <row r="91" spans="1:2">
      <c r="A91" t="s">
        <v>134</v>
      </c>
      <c r="B91" t="s">
        <v>83</v>
      </c>
    </row>
    <row r="92" spans="1:2">
      <c r="A92" t="s">
        <v>34</v>
      </c>
      <c r="B92" t="s">
        <v>135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悠登 政村</cp:lastModifiedBy>
  <dcterms:created xsi:type="dcterms:W3CDTF">2025-10-03T02:47:34Z</dcterms:created>
  <dcterms:modified xsi:type="dcterms:W3CDTF">2025-10-03T06:55:50Z</dcterms:modified>
</cp:coreProperties>
</file>